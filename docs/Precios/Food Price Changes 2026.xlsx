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pedro\Desktop\teg-modernizado\docs\Precios\"/>
    </mc:Choice>
  </mc:AlternateContent>
  <xr:revisionPtr revIDLastSave="0" documentId="8_{3D625099-69A4-46F7-915D-30541AF2190F}" xr6:coauthVersionLast="47" xr6:coauthVersionMax="47" xr10:uidLastSave="{00000000-0000-0000-0000-000000000000}"/>
  <bookViews>
    <workbookView xWindow="-105" yWindow="0" windowWidth="14385" windowHeight="15585" firstSheet="2" activeTab="2" xr2:uid="{00000000-000D-0000-FFFF-FFFF00000000}"/>
  </bookViews>
  <sheets>
    <sheet name="Export Summary" sheetId="1" r:id="rId1"/>
    <sheet name="In Store - Food Item Prices and" sheetId="2" r:id="rId2"/>
    <sheet name="3rd Party - Food Item Prices an" sheetId="3" r:id="rId3"/>
  </sheets>
  <definedNames>
    <definedName name="_xlnm._FilterDatabase" localSheetId="2" hidden="1">'3rd Party - Food Item Prices an'!$A$2:$I$140</definedName>
    <definedName name="_xlnm._FilterDatabase" localSheetId="1" hidden="1">'In Store - Food Item Prices and'!$A$2:$I$143</definedName>
    <definedName name="_xlnm.Print_Titles" localSheetId="2">'3rd Party - Food Item Prices an'!$1:$2</definedName>
    <definedName name="_xlnm.Print_Titles" localSheetId="1">'In Store - Food Item Prices and'!$1:$2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36" i="3" l="1"/>
  <c r="F136" i="3" s="1"/>
  <c r="I136" i="3" s="1"/>
  <c r="G134" i="3"/>
  <c r="F134" i="3" s="1"/>
  <c r="I134" i="3" s="1"/>
  <c r="G133" i="3"/>
  <c r="F133" i="3" s="1"/>
  <c r="I133" i="3" s="1"/>
  <c r="G132" i="3"/>
  <c r="F132" i="3" s="1"/>
  <c r="I132" i="3" s="1"/>
  <c r="G127" i="3"/>
  <c r="F127" i="3" s="1"/>
  <c r="I127" i="3" s="1"/>
  <c r="G125" i="3"/>
  <c r="F125" i="3" s="1"/>
  <c r="I125" i="3" s="1"/>
  <c r="G123" i="3"/>
  <c r="F123" i="3"/>
  <c r="I123" i="3" s="1"/>
  <c r="G122" i="3"/>
  <c r="F122" i="3"/>
  <c r="I122" i="3" s="1"/>
  <c r="G121" i="3"/>
  <c r="F121" i="3"/>
  <c r="I121" i="3" s="1"/>
  <c r="G116" i="3"/>
  <c r="F116" i="3"/>
  <c r="I116" i="3" s="1"/>
  <c r="G114" i="3"/>
  <c r="F114" i="3"/>
  <c r="I114" i="3" s="1"/>
  <c r="G113" i="3"/>
  <c r="F113" i="3" s="1"/>
  <c r="I113" i="3" s="1"/>
  <c r="G95" i="3"/>
  <c r="F95" i="3" s="1"/>
  <c r="I95" i="3" s="1"/>
  <c r="G92" i="3"/>
  <c r="F92" i="3" s="1"/>
  <c r="I92" i="3" s="1"/>
  <c r="G91" i="3"/>
  <c r="F91" i="3" s="1"/>
  <c r="I91" i="3" s="1"/>
  <c r="G78" i="3"/>
  <c r="F78" i="3" s="1"/>
  <c r="I78" i="3" s="1"/>
  <c r="G77" i="3"/>
  <c r="F77" i="3"/>
  <c r="I77" i="3" s="1"/>
  <c r="G76" i="3"/>
  <c r="F76" i="3" s="1"/>
  <c r="I76" i="3" s="1"/>
  <c r="G74" i="3"/>
  <c r="F74" i="3"/>
  <c r="I74" i="3" s="1"/>
  <c r="G70" i="3"/>
  <c r="F70" i="3" s="1"/>
  <c r="I70" i="3" s="1"/>
  <c r="G67" i="3"/>
  <c r="F67" i="3"/>
  <c r="I67" i="3" s="1"/>
  <c r="G66" i="3"/>
  <c r="F66" i="3"/>
  <c r="I66" i="3" s="1"/>
  <c r="G63" i="3"/>
  <c r="F63" i="3" s="1"/>
  <c r="I63" i="3" s="1"/>
  <c r="G60" i="3"/>
  <c r="F60" i="3" s="1"/>
  <c r="I60" i="3" s="1"/>
  <c r="G59" i="3"/>
  <c r="F59" i="3" s="1"/>
  <c r="G56" i="3"/>
  <c r="F56" i="3" s="1"/>
  <c r="I56" i="3" s="1"/>
  <c r="G55" i="3"/>
  <c r="F55" i="3" s="1"/>
  <c r="I55" i="3" s="1"/>
  <c r="G52" i="3"/>
  <c r="F52" i="3" s="1"/>
  <c r="I52" i="3" s="1"/>
  <c r="G51" i="3"/>
  <c r="F51" i="3" s="1"/>
  <c r="I51" i="3" s="1"/>
  <c r="G50" i="3"/>
  <c r="F50" i="3" s="1"/>
  <c r="I50" i="3" s="1"/>
  <c r="G49" i="3"/>
  <c r="F49" i="3" s="1"/>
  <c r="I49" i="3" s="1"/>
  <c r="G48" i="3"/>
  <c r="F48" i="3" s="1"/>
  <c r="I48" i="3" s="1"/>
  <c r="G47" i="3"/>
  <c r="F47" i="3" s="1"/>
  <c r="I47" i="3" s="1"/>
  <c r="G46" i="3"/>
  <c r="F46" i="3" s="1"/>
  <c r="I46" i="3" s="1"/>
  <c r="G45" i="3"/>
  <c r="F45" i="3" s="1"/>
  <c r="I45" i="3" s="1"/>
  <c r="G44" i="3"/>
  <c r="F44" i="3" s="1"/>
  <c r="I44" i="3" s="1"/>
  <c r="G43" i="3"/>
  <c r="F43" i="3" s="1"/>
  <c r="I43" i="3" s="1"/>
  <c r="G42" i="3"/>
  <c r="F42" i="3" s="1"/>
  <c r="I42" i="3" s="1"/>
  <c r="G41" i="3"/>
  <c r="F41" i="3" s="1"/>
  <c r="I41" i="3" s="1"/>
  <c r="G40" i="3"/>
  <c r="F40" i="3" s="1"/>
  <c r="I40" i="3" s="1"/>
  <c r="G37" i="3"/>
  <c r="F37" i="3"/>
  <c r="I37" i="3" s="1"/>
  <c r="G34" i="3"/>
  <c r="F34" i="3" s="1"/>
  <c r="I34" i="3" s="1"/>
  <c r="G33" i="3"/>
  <c r="F33" i="3"/>
  <c r="I33" i="3" s="1"/>
  <c r="G28" i="3"/>
  <c r="F28" i="3" s="1"/>
  <c r="I28" i="3" s="1"/>
  <c r="G27" i="3"/>
  <c r="F27" i="3" s="1"/>
  <c r="I27" i="3" s="1"/>
  <c r="G24" i="3"/>
  <c r="F24" i="3" s="1"/>
  <c r="I24" i="3" s="1"/>
  <c r="G20" i="3"/>
  <c r="F20" i="3" s="1"/>
  <c r="I20" i="3" s="1"/>
  <c r="G19" i="3"/>
  <c r="F19" i="3"/>
  <c r="I19" i="3" s="1"/>
  <c r="G16" i="3"/>
  <c r="F16" i="3"/>
  <c r="I16" i="3" s="1"/>
  <c r="G15" i="3"/>
  <c r="F15" i="3" s="1"/>
  <c r="I15" i="3" s="1"/>
  <c r="G12" i="3"/>
  <c r="F12" i="3" s="1"/>
  <c r="I12" i="3" s="1"/>
  <c r="G11" i="3"/>
  <c r="F11" i="3" s="1"/>
  <c r="I11" i="3" s="1"/>
  <c r="G8" i="3"/>
  <c r="F8" i="3" s="1"/>
  <c r="I8" i="3" s="1"/>
  <c r="G7" i="3"/>
  <c r="F7" i="3" s="1"/>
  <c r="I7" i="3" s="1"/>
  <c r="G4" i="3"/>
  <c r="F4" i="3"/>
  <c r="I4" i="3" s="1"/>
  <c r="G143" i="2"/>
  <c r="F143" i="2"/>
  <c r="I143" i="2" s="1"/>
  <c r="G142" i="2"/>
  <c r="F142" i="2" s="1"/>
  <c r="I142" i="2" s="1"/>
  <c r="G141" i="2"/>
  <c r="F141" i="2" s="1"/>
  <c r="I141" i="2" s="1"/>
  <c r="G140" i="2"/>
  <c r="F140" i="2" s="1"/>
  <c r="I140" i="2" s="1"/>
  <c r="G139" i="2"/>
  <c r="F139" i="2" s="1"/>
  <c r="I139" i="2" s="1"/>
  <c r="G138" i="2"/>
  <c r="F138" i="2" s="1"/>
  <c r="I138" i="2" s="1"/>
  <c r="G137" i="2"/>
  <c r="F137" i="2" s="1"/>
  <c r="I137" i="2" s="1"/>
  <c r="G136" i="2"/>
  <c r="F136" i="2"/>
  <c r="I136" i="2" s="1"/>
  <c r="G135" i="2"/>
  <c r="F135" i="2" s="1"/>
  <c r="I135" i="2" s="1"/>
  <c r="G132" i="2"/>
  <c r="F132" i="2" s="1"/>
  <c r="I132" i="2" s="1"/>
  <c r="G131" i="2"/>
  <c r="F131" i="2" s="1"/>
  <c r="I131" i="2" s="1"/>
  <c r="G130" i="2"/>
  <c r="F130" i="2" s="1"/>
  <c r="I130" i="2" s="1"/>
  <c r="G129" i="2"/>
  <c r="F129" i="2" s="1"/>
  <c r="I129" i="2" s="1"/>
  <c r="G128" i="2"/>
  <c r="F128" i="2" s="1"/>
  <c r="I128" i="2" s="1"/>
  <c r="G127" i="2"/>
  <c r="F127" i="2" s="1"/>
  <c r="I127" i="2" s="1"/>
  <c r="G126" i="2"/>
  <c r="F126" i="2" s="1"/>
  <c r="I126" i="2" s="1"/>
  <c r="G125" i="2"/>
  <c r="F125" i="2" s="1"/>
  <c r="I125" i="2" s="1"/>
  <c r="G124" i="2"/>
  <c r="F124" i="2" s="1"/>
  <c r="I124" i="2" s="1"/>
  <c r="G119" i="2"/>
  <c r="F119" i="2"/>
  <c r="I119" i="2" s="1"/>
  <c r="G118" i="2"/>
  <c r="F118" i="2" s="1"/>
  <c r="I118" i="2" s="1"/>
  <c r="G117" i="2"/>
  <c r="F117" i="2" s="1"/>
  <c r="I117" i="2" s="1"/>
  <c r="G116" i="2"/>
  <c r="F116" i="2" s="1"/>
  <c r="I116" i="2" s="1"/>
  <c r="G115" i="2"/>
  <c r="F115" i="2"/>
  <c r="I115" i="2" s="1"/>
  <c r="G114" i="2"/>
  <c r="F114" i="2"/>
  <c r="I114" i="2" s="1"/>
  <c r="G111" i="2"/>
  <c r="F111" i="2" s="1"/>
  <c r="I111" i="2" s="1"/>
  <c r="G110" i="2"/>
  <c r="F110" i="2" s="1"/>
  <c r="I110" i="2" s="1"/>
  <c r="G109" i="2"/>
  <c r="F109" i="2" s="1"/>
  <c r="I109" i="2" s="1"/>
  <c r="G108" i="2"/>
  <c r="F108" i="2" s="1"/>
  <c r="I108" i="2" s="1"/>
  <c r="G107" i="2"/>
  <c r="F107" i="2" s="1"/>
  <c r="I107" i="2" s="1"/>
  <c r="G106" i="2"/>
  <c r="F106" i="2" s="1"/>
  <c r="I106" i="2" s="1"/>
  <c r="G105" i="2"/>
  <c r="F105" i="2" s="1"/>
  <c r="I105" i="2" s="1"/>
  <c r="G104" i="2"/>
  <c r="F104" i="2" s="1"/>
  <c r="I104" i="2" s="1"/>
  <c r="G103" i="2"/>
  <c r="F103" i="2"/>
  <c r="I103" i="2" s="1"/>
  <c r="G102" i="2"/>
  <c r="F102" i="2" s="1"/>
  <c r="I102" i="2" s="1"/>
  <c r="G101" i="2"/>
  <c r="F101" i="2" s="1"/>
  <c r="G100" i="2"/>
  <c r="F100" i="2" s="1"/>
  <c r="I100" i="2" s="1"/>
  <c r="G99" i="2"/>
  <c r="F99" i="2" s="1"/>
  <c r="I99" i="2" s="1"/>
  <c r="G98" i="2"/>
  <c r="F98" i="2" s="1"/>
  <c r="I98" i="2" s="1"/>
  <c r="G97" i="2"/>
  <c r="F97" i="2" s="1"/>
  <c r="I97" i="2" s="1"/>
  <c r="G96" i="2"/>
  <c r="F96" i="2" s="1"/>
  <c r="I96" i="2" s="1"/>
  <c r="G93" i="2"/>
  <c r="F93" i="2" s="1"/>
  <c r="I93" i="2" s="1"/>
  <c r="G92" i="2"/>
  <c r="F92" i="2" s="1"/>
  <c r="I92" i="2" s="1"/>
  <c r="G88" i="2"/>
  <c r="F88" i="2" s="1"/>
  <c r="I88" i="2" s="1"/>
  <c r="G87" i="2"/>
  <c r="F87" i="2" s="1"/>
  <c r="I87" i="2" s="1"/>
  <c r="G86" i="2"/>
  <c r="F86" i="2" s="1"/>
  <c r="I86" i="2" s="1"/>
  <c r="G85" i="2"/>
  <c r="F85" i="2" s="1"/>
  <c r="I85" i="2" s="1"/>
  <c r="G84" i="2"/>
  <c r="F84" i="2" s="1"/>
  <c r="I84" i="2" s="1"/>
  <c r="G83" i="2"/>
  <c r="F83" i="2" s="1"/>
  <c r="I83" i="2" s="1"/>
  <c r="G82" i="2"/>
  <c r="F82" i="2" s="1"/>
  <c r="I82" i="2" s="1"/>
  <c r="G81" i="2"/>
  <c r="F81" i="2" s="1"/>
  <c r="I81" i="2" s="1"/>
  <c r="G80" i="2"/>
  <c r="F80" i="2" s="1"/>
  <c r="I80" i="2" s="1"/>
  <c r="G79" i="2"/>
  <c r="F79" i="2" s="1"/>
  <c r="I79" i="2" s="1"/>
  <c r="G78" i="2"/>
  <c r="F78" i="2" s="1"/>
  <c r="I78" i="2" s="1"/>
  <c r="G77" i="2"/>
  <c r="F77" i="2" s="1"/>
  <c r="I77" i="2" s="1"/>
  <c r="G76" i="2"/>
  <c r="F76" i="2"/>
  <c r="I76" i="2" s="1"/>
  <c r="G75" i="2"/>
  <c r="F75" i="2" s="1"/>
  <c r="I75" i="2" s="1"/>
  <c r="G72" i="2"/>
  <c r="F72" i="2" s="1"/>
  <c r="I72" i="2" s="1"/>
  <c r="G71" i="2"/>
  <c r="F71" i="2" s="1"/>
  <c r="I71" i="2" s="1"/>
  <c r="G68" i="2"/>
  <c r="F68" i="2" s="1"/>
  <c r="I68" i="2" s="1"/>
  <c r="G67" i="2"/>
  <c r="F67" i="2" s="1"/>
  <c r="I67" i="2" s="1"/>
  <c r="G64" i="2"/>
  <c r="F64" i="2"/>
  <c r="I64" i="2" s="1"/>
  <c r="G61" i="2"/>
  <c r="F61" i="2" s="1"/>
  <c r="I61" i="2" s="1"/>
  <c r="G60" i="2"/>
  <c r="F60" i="2" s="1"/>
  <c r="I60" i="2" s="1"/>
  <c r="G57" i="2"/>
  <c r="F57" i="2" s="1"/>
  <c r="I57" i="2" s="1"/>
  <c r="G56" i="2"/>
  <c r="F56" i="2" s="1"/>
  <c r="I56" i="2" s="1"/>
  <c r="G53" i="2"/>
  <c r="F53" i="2" s="1"/>
  <c r="I53" i="2" s="1"/>
  <c r="G52" i="2"/>
  <c r="F52" i="2" s="1"/>
  <c r="I52" i="2" s="1"/>
  <c r="G51" i="2"/>
  <c r="F51" i="2" s="1"/>
  <c r="I51" i="2" s="1"/>
  <c r="G50" i="2"/>
  <c r="F50" i="2" s="1"/>
  <c r="I50" i="2" s="1"/>
  <c r="G49" i="2"/>
  <c r="F49" i="2"/>
  <c r="I49" i="2" s="1"/>
  <c r="G48" i="2"/>
  <c r="F48" i="2" s="1"/>
  <c r="I48" i="2" s="1"/>
  <c r="G47" i="2"/>
  <c r="F47" i="2" s="1"/>
  <c r="I47" i="2" s="1"/>
  <c r="G46" i="2"/>
  <c r="F46" i="2" s="1"/>
  <c r="I46" i="2" s="1"/>
  <c r="G45" i="2"/>
  <c r="F45" i="2"/>
  <c r="I45" i="2" s="1"/>
  <c r="G44" i="2"/>
  <c r="F44" i="2"/>
  <c r="I44" i="2" s="1"/>
  <c r="G43" i="2"/>
  <c r="F43" i="2" s="1"/>
  <c r="I43" i="2" s="1"/>
  <c r="G42" i="2"/>
  <c r="F42" i="2" s="1"/>
  <c r="I42" i="2" s="1"/>
  <c r="G41" i="2"/>
  <c r="F41" i="2" s="1"/>
  <c r="I41" i="2" s="1"/>
  <c r="G38" i="2"/>
  <c r="F38" i="2" s="1"/>
  <c r="I38" i="2" s="1"/>
  <c r="G35" i="2"/>
  <c r="F35" i="2" s="1"/>
  <c r="I35" i="2" s="1"/>
  <c r="G34" i="2"/>
  <c r="F34" i="2" s="1"/>
  <c r="I34" i="2" s="1"/>
  <c r="G31" i="2"/>
  <c r="F31" i="2" s="1"/>
  <c r="I31" i="2" s="1"/>
  <c r="G30" i="2"/>
  <c r="F30" i="2" s="1"/>
  <c r="I30" i="2" s="1"/>
  <c r="G28" i="2"/>
  <c r="F28" i="2" s="1"/>
  <c r="I28" i="2" s="1"/>
  <c r="G27" i="2"/>
  <c r="F27" i="2" s="1"/>
  <c r="I27" i="2" s="1"/>
  <c r="G24" i="2"/>
  <c r="F24" i="2" s="1"/>
  <c r="I24" i="2" s="1"/>
  <c r="G21" i="2"/>
  <c r="F21" i="2" s="1"/>
  <c r="I21" i="2" s="1"/>
  <c r="G20" i="2"/>
  <c r="F20" i="2"/>
  <c r="I20" i="2" s="1"/>
  <c r="G19" i="2"/>
  <c r="F19" i="2"/>
  <c r="I19" i="2" s="1"/>
  <c r="G16" i="2"/>
  <c r="F16" i="2" s="1"/>
  <c r="I16" i="2" s="1"/>
  <c r="G15" i="2"/>
  <c r="F15" i="2" s="1"/>
  <c r="I15" i="2" s="1"/>
  <c r="G12" i="2"/>
  <c r="F12" i="2" s="1"/>
  <c r="I12" i="2" s="1"/>
  <c r="G11" i="2"/>
  <c r="F11" i="2" s="1"/>
  <c r="I11" i="2" s="1"/>
  <c r="G8" i="2"/>
  <c r="F8" i="2" s="1"/>
  <c r="I8" i="2" s="1"/>
  <c r="G7" i="2"/>
  <c r="F7" i="2" s="1"/>
  <c r="I7" i="2" s="1"/>
  <c r="G4" i="2"/>
  <c r="F4" i="2" s="1"/>
  <c r="I4" i="2" s="1"/>
</calcChain>
</file>

<file path=xl/sharedStrings.xml><?xml version="1.0" encoding="utf-8"?>
<sst xmlns="http://schemas.openxmlformats.org/spreadsheetml/2006/main" count="397" uniqueCount="139">
  <si>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</si>
  <si>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</si>
  <si>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</si>
  <si>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</si>
  <si>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In Store</t>
  </si>
  <si>
    <t>Food Item Prices and Changes</t>
  </si>
  <si>
    <t>In Store - Food Item Prices and</t>
  </si>
  <si>
    <t>3rd Party</t>
  </si>
  <si>
    <t>3rd Party - Food Item Prices an</t>
  </si>
  <si>
    <t>Food Item</t>
  </si>
  <si>
    <t>Prices (07/21/23)</t>
  </si>
  <si>
    <t>Prices (06/21/24)</t>
  </si>
  <si>
    <t>Prices (06/20/26)</t>
  </si>
  <si>
    <t>New Price</t>
  </si>
  <si>
    <t>5% Increase</t>
  </si>
  <si>
    <t>Proposed Deviation</t>
  </si>
  <si>
    <t>Total Change</t>
  </si>
  <si>
    <t>Tacos</t>
  </si>
  <si>
    <t>Regular</t>
  </si>
  <si>
    <t>Mulitas</t>
  </si>
  <si>
    <t>No Meat</t>
  </si>
  <si>
    <t>Super Mulitas</t>
  </si>
  <si>
    <t>Sopes</t>
  </si>
  <si>
    <t>Regular / Cheese</t>
  </si>
  <si>
    <t>Beans Only</t>
  </si>
  <si>
    <t>Burritos</t>
  </si>
  <si>
    <t>Beans / Rice / Cheese</t>
  </si>
  <si>
    <t>Beans OR Rice / Cheese</t>
  </si>
  <si>
    <t>PC Burritos</t>
  </si>
  <si>
    <t>Tortas</t>
  </si>
  <si>
    <t>Cubana</t>
  </si>
  <si>
    <t>Pan Tostado w/ Beans/Cheese</t>
  </si>
  <si>
    <t>Pan Tostado</t>
  </si>
  <si>
    <t>Quesadillas</t>
  </si>
  <si>
    <t>Platos</t>
  </si>
  <si>
    <t>Desayunos</t>
  </si>
  <si>
    <t>Burrito Huevos / Chorizo</t>
  </si>
  <si>
    <t>Burrito Huevos/Jamon</t>
  </si>
  <si>
    <t>Burrito Huevos a la Mex</t>
  </si>
  <si>
    <t>Burrito Huevos / CQueso</t>
  </si>
  <si>
    <t>Burrito Huevos / Salchicha</t>
  </si>
  <si>
    <t>Torta Huevo</t>
  </si>
  <si>
    <t>Torta Huevos / Chorizo</t>
  </si>
  <si>
    <t>Torta Huevos / Jmaon</t>
  </si>
  <si>
    <t>Huevos A La Mex</t>
  </si>
  <si>
    <t>Huevos / Chorizo</t>
  </si>
  <si>
    <t>Huevos / HJamon</t>
  </si>
  <si>
    <t>Huevos / Salchicha</t>
  </si>
  <si>
    <t>Huevos Rancheros</t>
  </si>
  <si>
    <t>Combos</t>
  </si>
  <si>
    <t>Taco Combo (3 Tacos / Rice / Beans)</t>
  </si>
  <si>
    <t>Quesadilla Combo (Quesadilla / Rice / Beans)</t>
  </si>
  <si>
    <t>Super Burritos</t>
  </si>
  <si>
    <t>Super PC Burritos</t>
  </si>
  <si>
    <t>Super Quesadillas</t>
  </si>
  <si>
    <t>Super Nachos</t>
  </si>
  <si>
    <t>Side Orders</t>
  </si>
  <si>
    <t>Avocado</t>
  </si>
  <si>
    <t>Sour Cream</t>
  </si>
  <si>
    <t>Beans</t>
  </si>
  <si>
    <t>Rice</t>
  </si>
  <si>
    <t>Jack Cheese</t>
  </si>
  <si>
    <t>Cotija Cheese</t>
  </si>
  <si>
    <t>Nacho Cheese</t>
  </si>
  <si>
    <t>Queso Fresco</t>
  </si>
  <si>
    <t>Chips</t>
  </si>
  <si>
    <t>Egg</t>
  </si>
  <si>
    <t>Order of Meat</t>
  </si>
  <si>
    <t>Order of Maiz</t>
  </si>
  <si>
    <t>Order of Harina</t>
  </si>
  <si>
    <t>Beans / Rice Combo</t>
  </si>
  <si>
    <t>Desserts</t>
  </si>
  <si>
    <t>Flan</t>
  </si>
  <si>
    <t>Cheesecake</t>
  </si>
  <si>
    <t>Catering</t>
  </si>
  <si>
    <t>15 - 20 People</t>
  </si>
  <si>
    <t>20 - 25 People</t>
  </si>
  <si>
    <t>25 - 30 People</t>
  </si>
  <si>
    <t>35 - 40 People</t>
  </si>
  <si>
    <t>2lb Meat</t>
  </si>
  <si>
    <t>6lb Meat</t>
  </si>
  <si>
    <t>12lb Meat</t>
  </si>
  <si>
    <t>1/2 Tray Beans or Rice</t>
  </si>
  <si>
    <t>Full Tray Beans or Rice</t>
  </si>
  <si>
    <t>Gallon de Agua</t>
  </si>
  <si>
    <t>Dz. Tortillas Harina</t>
  </si>
  <si>
    <t>Dz. Tortillas Maiz</t>
  </si>
  <si>
    <t>20 oz. Salsa</t>
  </si>
  <si>
    <t>1lb Guacamole</t>
  </si>
  <si>
    <t>Full Flan</t>
  </si>
  <si>
    <t>Full Cheesecake</t>
  </si>
  <si>
    <t>Drinks</t>
  </si>
  <si>
    <t>Medium</t>
  </si>
  <si>
    <t>Large</t>
  </si>
  <si>
    <t>Coffee</t>
  </si>
  <si>
    <t>Champurrado</t>
  </si>
  <si>
    <t>Catering Champurrado</t>
  </si>
  <si>
    <t>Bottled Water</t>
  </si>
  <si>
    <r>
      <rPr>
        <b/>
        <u/>
        <sz val="16"/>
        <color rgb="FF000000"/>
        <rFont val="Helvetica Neue"/>
      </rPr>
      <t>Extra Add-Ons</t>
    </r>
    <r>
      <rPr>
        <b/>
        <u/>
        <sz val="16"/>
        <color rgb="FF000000"/>
        <rFont val="Helvetica Neue"/>
      </rPr>
      <t xml:space="preserve"> (Tacos/Mul/Sop)</t>
    </r>
  </si>
  <si>
    <t>Aguacate 1.5 oz</t>
  </si>
  <si>
    <t>Crema 1.5 oz</t>
  </si>
  <si>
    <t>Jack Cheese 1.5 oz</t>
  </si>
  <si>
    <t>Carne Dorada 1.5 oz</t>
  </si>
  <si>
    <t>Extra Carne 1.5 oz</t>
  </si>
  <si>
    <t>Extra Nacho Cheese 1.5 oz</t>
  </si>
  <si>
    <t>Extra Cotija Cheese 1.5 oz.</t>
  </si>
  <si>
    <t>Extra Beans 1.5 oz</t>
  </si>
  <si>
    <t>Extra Rice 1.5 oz</t>
  </si>
  <si>
    <r>
      <rPr>
        <b/>
        <u/>
        <sz val="16"/>
        <color rgb="FF000000"/>
        <rFont val="Helvetica Neue"/>
      </rPr>
      <t>Extra Add-Ons</t>
    </r>
    <r>
      <rPr>
        <b/>
        <u/>
        <sz val="16"/>
        <color rgb="FF000000"/>
        <rFont val="Helvetica Neue"/>
      </rPr>
      <t xml:space="preserve"> (Bur/Que/Tor)</t>
    </r>
  </si>
  <si>
    <t>Aguacate 3 oz</t>
  </si>
  <si>
    <t>Crema 3 oz</t>
  </si>
  <si>
    <t>Jack Cheese 3 oz</t>
  </si>
  <si>
    <t>Carne Dorada 3 oz</t>
  </si>
  <si>
    <t>Extra Carne 3 oz</t>
  </si>
  <si>
    <t>Extra Nacho Cheese 3 oz</t>
  </si>
  <si>
    <t>Extra Cotija Cheese 3 oz</t>
  </si>
  <si>
    <t>Extra Rice 3 oz</t>
  </si>
  <si>
    <t>Extra Beans 3 oz</t>
  </si>
  <si>
    <t>Current Price (07/21/23)</t>
  </si>
  <si>
    <t>New Prices</t>
  </si>
  <si>
    <t>Rice / Beans and Rice / Cheese</t>
  </si>
  <si>
    <t>N/A</t>
  </si>
  <si>
    <t>Pan Tostado w/ Beans and Cheese</t>
  </si>
  <si>
    <t>Ques Combo (Ques. / Rice / Beans)</t>
  </si>
  <si>
    <r>
      <rPr>
        <b/>
        <u/>
        <sz val="14"/>
        <color rgb="FF000000"/>
        <rFont val="Helvetica Neue"/>
      </rPr>
      <t>Extra Add-Ons</t>
    </r>
    <r>
      <rPr>
        <b/>
        <u/>
        <sz val="14"/>
        <color rgb="FF000000"/>
        <rFont val="Helvetica Neue"/>
      </rPr>
      <t xml:space="preserve"> (Tacos/Mul/Sop)</t>
    </r>
  </si>
  <si>
    <r>
      <rPr>
        <b/>
        <u/>
        <sz val="14"/>
        <color rgb="FF000000"/>
        <rFont val="Helvetica Neue"/>
      </rPr>
      <t>Extra Add-Ons</t>
    </r>
    <r>
      <rPr>
        <b/>
        <u/>
        <sz val="14"/>
        <color rgb="FF000000"/>
        <rFont val="Helvetica Neue"/>
      </rPr>
      <t xml:space="preserve"> (Bur/Que/Tor)</t>
    </r>
  </si>
  <si>
    <t>In Store - Food Item Prices</t>
  </si>
  <si>
    <t>3rd Party - Food Item Prices</t>
  </si>
  <si>
    <t>Prices ACTUAL toast</t>
  </si>
  <si>
    <t>Queso OR Jamon OR Salchicha</t>
  </si>
  <si>
    <t>Papelito</t>
  </si>
  <si>
    <t>Olla Café de olla</t>
  </si>
  <si>
    <t>Café de olla</t>
  </si>
  <si>
    <t>Whole Beans</t>
  </si>
  <si>
    <t>1.49</t>
  </si>
  <si>
    <t>29.99</t>
  </si>
  <si>
    <t>2.89</t>
  </si>
  <si>
    <t>16.39</t>
  </si>
  <si>
    <t>2.19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</si>
</sst>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14">
    <font>
      <sz val="10"/>
      <color rgb="FF000000"/>
      <name val="Helvetica Neue"/>
      <scheme val="minor"/>
    </font>
    <font>
      <sz val="12"/>
      <color rgb="FF000000"/>
      <name val="Helvetica Neue"/>
    </font>
    <font>
      <sz val="14"/>
      <color rgb="FF000000"/>
      <name val="Helvetica Neue"/>
    </font>
    <font>
      <u/>
      <sz val="10"/>
      <color theme="10"/>
      <name val="Helvetica Neue"/>
    </font>
    <font>
      <sz val="10"/>
      <color rgb="FF000000"/>
      <name val="Helvetica Neue"/>
    </font>
    <font>
      <b/>
      <sz val="16"/>
      <color rgb="FF000000"/>
      <name val="Helvetica Neue"/>
    </font>
    <font>
      <b/>
      <u/>
      <sz val="16"/>
      <color rgb="FF000000"/>
      <name val="Helvetica Neue"/>
    </font>
    <font>
      <sz val="16"/>
      <color rgb="FF000000"/>
      <name val="Helvetica Neue"/>
    </font>
    <font>
      <b/>
      <u/>
      <sz val="16"/>
      <color rgb="FF000000"/>
      <name val="Helvetica Neue"/>
    </font>
    <font>
      <b/>
      <sz val="14"/>
      <color rgb="FF000000"/>
      <name val="Helvetica Neue"/>
    </font>
    <font>
      <b/>
      <u/>
      <sz val="14"/>
      <color rgb="FF000000"/>
      <name val="Helvetica Neue"/>
    </font>
    <font>
      <b/>
      <u/>
      <sz val="14"/>
      <color rgb="FF000000"/>
      <name val="Helvetica Neue"/>
    </font>
    <font>
      <b/>
      <sz val="18"/>
      <color rgb="FF000000"/>
      <name val="Helvetica Neue"/>
    </font>
    <font>
      <b/>
      <sz val="18"/>
      <color rgb="FF000000"/>
      <name val="Helvetica Neue"/>
      <scheme val="minor"/>
    </font>
  </fonts>
  <fills count="21">
    <fill>
      <patternFill patternType="none"/>
    </fill>
    <fill>
      <patternFill patternType="gray125"/>
    </fill>
    <fill>
      <patternFill patternType="solid">
        <fgColor rgb="FF5E88B1"/>
        <bgColor rgb="FF5E88B1"/>
      </patternFill>
    </fill>
    <fill>
      <patternFill patternType="solid">
        <fgColor rgb="FFEEF3F4"/>
        <bgColor rgb="FFEEF3F4"/>
      </patternFill>
    </fill>
    <fill>
      <patternFill patternType="solid">
        <fgColor rgb="FFBDC0BF"/>
        <bgColor rgb="FFBDC0BF"/>
      </patternFill>
    </fill>
    <fill>
      <patternFill patternType="solid">
        <fgColor rgb="FFDBDBDB"/>
        <bgColor rgb="FFDBDBDB"/>
      </patternFill>
    </fill>
    <fill>
      <patternFill patternType="solid">
        <fgColor rgb="FF93D1FF"/>
        <bgColor rgb="FF93D1FF"/>
      </patternFill>
    </fill>
    <fill>
      <patternFill patternType="solid">
        <fgColor rgb="FF56C1FE"/>
        <bgColor rgb="FF56C1FE"/>
      </patternFill>
    </fill>
    <fill>
      <patternFill patternType="solid">
        <fgColor theme="0"/>
        <bgColor theme="0"/>
      </patternFill>
    </fill>
    <fill>
      <patternFill patternType="solid">
        <fgColor rgb="FFFFFF00"/>
        <bgColor rgb="FF56C1FE"/>
      </patternFill>
    </fill>
    <fill>
      <patternFill patternType="solid">
        <fgColor rgb="FFFFFF00"/>
        <bgColor indexed="64"/>
      </patternFill>
    </fill>
    <fill>
      <patternFill patternType="solid">
        <fgColor rgb="FFFF0000"/>
        <bgColor rgb="FFDBDBDB"/>
      </patternFill>
    </fill>
    <fill>
      <patternFill patternType="solid">
        <fgColor rgb="FFFF0000"/>
        <bgColor rgb="FF93D1FF"/>
      </patternFill>
    </fill>
    <fill>
      <patternFill patternType="solid">
        <fgColor rgb="FFFF0000"/>
        <bgColor rgb="FF56C1FE"/>
      </patternFill>
    </fill>
    <fill>
      <patternFill patternType="solid">
        <fgColor rgb="FFFF0000"/>
        <bgColor indexed="64"/>
      </patternFill>
    </fill>
    <fill>
      <patternFill patternType="solid">
        <fgColor rgb="FFFFFF00"/>
        <bgColor rgb="FFDBDBDB"/>
      </patternFill>
    </fill>
    <fill>
      <patternFill patternType="solid">
        <fgColor rgb="FFFFFF00"/>
        <bgColor rgb="FF93D1FF"/>
      </patternFill>
    </fill>
    <fill>
      <patternFill patternType="solid">
        <fgColor theme="6"/>
        <bgColor rgb="FFBDC0BF"/>
      </patternFill>
    </fill>
    <fill>
      <patternFill patternType="solid">
        <fgColor theme="6"/>
        <bgColor indexed="64"/>
      </patternFill>
    </fill>
    <fill>
      <patternFill patternType="solid">
        <fgColor theme="6"/>
        <bgColor rgb="FF56C1FE"/>
      </patternFill>
    </fill>
    <fill>
      <patternFill patternType="solid">
        <fgColor theme="6"/>
        <bgColor rgb="FFDBDBDB"/>
      </patternFill>
    </fill>
  </fills>
  <borders count="13">
    <border>
      <left/>
      <right/>
      <top/>
      <bottom/>
      <diagonal/>
    </border>
    <border>
      <left/>
      <right/>
      <top/>
      <bottom/>
      <diagonal/>
    </border>
    <border>
      <left style="thin">
        <color rgb="FFA5A5A5"/>
      </left>
      <right style="thin">
        <color rgb="FFA5A5A5"/>
      </right>
      <top style="thin">
        <color rgb="FFA5A5A5"/>
      </top>
      <bottom style="thin">
        <color rgb="FF3F3F3F"/>
      </bottom>
      <diagonal/>
    </border>
    <border>
      <left style="thin">
        <color rgb="FFA5A5A5"/>
      </left>
      <right style="thin">
        <color rgb="FF3F3F3F"/>
      </right>
      <top style="thin">
        <color rgb="FF3F3F3F"/>
      </top>
      <bottom style="thin">
        <color rgb="FFA5A5A5"/>
      </bottom>
      <diagonal/>
    </border>
    <border>
      <left style="thin">
        <color rgb="FF3F3F3F"/>
      </left>
      <right style="thin">
        <color rgb="FFA5A5A5"/>
      </right>
      <top style="thin">
        <color rgb="FF3F3F3F"/>
      </top>
      <bottom style="thin">
        <color rgb="FFA5A5A5"/>
      </bottom>
      <diagonal/>
    </border>
    <border>
      <left/>
      <right style="thin">
        <color rgb="FFA5A5A5"/>
      </right>
      <top style="thin">
        <color rgb="FF3F3F3F"/>
      </top>
      <bottom style="thin">
        <color rgb="FFA5A5A5"/>
      </bottom>
      <diagonal/>
    </border>
    <border>
      <left style="thin">
        <color rgb="FFA5A5A5"/>
      </left>
      <right style="thin">
        <color rgb="FFA5A5A5"/>
      </right>
      <top style="thin">
        <color rgb="FFA5A5A5"/>
      </top>
      <bottom style="thin">
        <color rgb="FFA5A5A5"/>
      </bottom>
      <diagonal/>
    </border>
    <border>
      <left style="thin">
        <color rgb="FFA5A5A5"/>
      </left>
      <right style="thin">
        <color rgb="FFA5A5A5"/>
      </right>
      <top style="thin">
        <color rgb="FF3F3F3F"/>
      </top>
      <bottom style="thin">
        <color rgb="FFA5A5A5"/>
      </bottom>
      <diagonal/>
    </border>
    <border>
      <left style="thin">
        <color rgb="FFA5A5A5"/>
      </left>
      <right style="thin">
        <color rgb="FF3F3F3F"/>
      </right>
      <top style="thin">
        <color rgb="FFA5A5A5"/>
      </top>
      <bottom style="thin">
        <color rgb="FFA5A5A5"/>
      </bottom>
      <diagonal/>
    </border>
    <border>
      <left style="thin">
        <color rgb="FF3F3F3F"/>
      </left>
      <right style="thin">
        <color rgb="FFA5A5A5"/>
      </right>
      <top style="thin">
        <color rgb="FFA5A5A5"/>
      </top>
      <bottom style="thin">
        <color rgb="FFA5A5A5"/>
      </bottom>
      <diagonal/>
    </border>
    <border>
      <left/>
      <right style="thin">
        <color rgb="FFA5A5A5"/>
      </right>
      <top style="thin">
        <color rgb="FFA5A5A5"/>
      </top>
      <bottom style="thin">
        <color rgb="FFA5A5A5"/>
      </bottom>
      <diagonal/>
    </border>
    <border>
      <left/>
      <right style="thin">
        <color rgb="FFA5A5A5"/>
      </right>
      <top style="thin">
        <color rgb="FFA5A5A5"/>
      </top>
      <bottom style="thin">
        <color rgb="FFA5A5A5"/>
      </bottom>
      <diagonal/>
    </border>
    <border>
      <left/>
      <right style="thin">
        <color rgb="FFA5A5A5"/>
      </right>
      <top/>
      <bottom style="thin">
        <color rgb="FFA5A5A5"/>
      </bottom>
      <diagonal/>
    </border>
  </borders>
  <cellStyleXfs count="1">
    <xf numFmtId="0" fontId="0" fillId="0" borderId="0"/>
  </cellStyleXfs>
  <cellXfs count="97">
    <xf numFmtId="0" fontId="0" fillId="0" borderId="0" xfId="0" applyAlignment="1">
      <alignment vertical="top" wrapText="1"/>
    </xf>
    <xf numFmtId="0" fontId="2" fillId="0" borderId="0" xfId="0" applyFont="1" applyAlignment="1">
      <alignment horizontal="left" vertical="top" wrapText="1"/>
    </xf>
    <xf numFmtId="0" fontId="1" fillId="2" borderId="1" xfId="0" applyFont="1" applyFill="1" applyBorder="1" applyAlignment="1">
      <alignment horizontal="left" vertical="top" wrapText="1"/>
    </xf>
    <xf numFmtId="0" fontId="1" fillId="3" borderId="1" xfId="0" applyFont="1" applyFill="1" applyBorder="1" applyAlignment="1">
      <alignment horizontal="left" vertical="top" wrapText="1"/>
    </xf>
    <xf numFmtId="0" fontId="3" fillId="3" borderId="1" xfId="0" applyFont="1" applyFill="1" applyBorder="1" applyAlignment="1">
      <alignment horizontal="left" vertical="top" wrapText="1"/>
    </xf>
    <xf numFmtId="0" fontId="4" fillId="0" borderId="0" xfId="0" applyFont="1" applyAlignment="1">
      <alignment vertical="top" wrapText="1"/>
    </xf>
    <xf numFmtId="49" fontId="5" fillId="4" borderId="2" xfId="0" applyNumberFormat="1" applyFont="1" applyFill="1" applyBorder="1" applyAlignment="1">
      <alignment horizontal="center" vertical="top" wrapText="1"/>
    </xf>
    <xf numFmtId="49" fontId="6" fillId="5" borderId="3" xfId="0" applyNumberFormat="1" applyFont="1" applyFill="1" applyBorder="1" applyAlignment="1">
      <alignment horizontal="center" vertical="top" wrapText="1"/>
    </xf>
    <xf numFmtId="0" fontId="5" fillId="0" borderId="4" xfId="0" applyFont="1" applyBorder="1" applyAlignment="1">
      <alignment horizontal="center" vertical="top" wrapText="1"/>
    </xf>
    <xf numFmtId="0" fontId="5" fillId="0" borderId="5" xfId="0" applyFont="1" applyBorder="1" applyAlignment="1">
      <alignment horizontal="center" vertical="top" wrapText="1"/>
    </xf>
    <xf numFmtId="0" fontId="5" fillId="0" borderId="6" xfId="0" applyFont="1" applyBorder="1" applyAlignment="1">
      <alignment horizontal="center" vertical="top" wrapText="1"/>
    </xf>
    <xf numFmtId="0" fontId="7" fillId="0" borderId="6" xfId="0" applyFont="1" applyBorder="1" applyAlignment="1">
      <alignment horizontal="center" vertical="top" wrapText="1"/>
    </xf>
    <xf numFmtId="0" fontId="7" fillId="0" borderId="7" xfId="0" applyFont="1" applyBorder="1" applyAlignment="1">
      <alignment horizontal="center" vertical="top" wrapText="1"/>
    </xf>
    <xf numFmtId="49" fontId="5" fillId="5" borderId="8" xfId="0" applyNumberFormat="1" applyFont="1" applyFill="1" applyBorder="1" applyAlignment="1">
      <alignment horizontal="center" vertical="top" wrapText="1"/>
    </xf>
    <xf numFmtId="164" fontId="5" fillId="6" borderId="9" xfId="0" applyNumberFormat="1" applyFont="1" applyFill="1" applyBorder="1" applyAlignment="1">
      <alignment horizontal="center" vertical="top" wrapText="1"/>
    </xf>
    <xf numFmtId="164" fontId="5" fillId="6" borderId="10" xfId="0" applyNumberFormat="1" applyFont="1" applyFill="1" applyBorder="1" applyAlignment="1">
      <alignment horizontal="center" vertical="top" wrapText="1"/>
    </xf>
    <xf numFmtId="164" fontId="5" fillId="7" borderId="6" xfId="0" applyNumberFormat="1" applyFont="1" applyFill="1" applyBorder="1" applyAlignment="1">
      <alignment horizontal="center" vertical="top" wrapText="1"/>
    </xf>
    <xf numFmtId="164" fontId="7" fillId="0" borderId="6" xfId="0" applyNumberFormat="1" applyFont="1" applyBorder="1" applyAlignment="1">
      <alignment horizontal="center" vertical="top" wrapText="1"/>
    </xf>
    <xf numFmtId="0" fontId="5" fillId="5" borderId="8" xfId="0" applyFont="1" applyFill="1" applyBorder="1" applyAlignment="1">
      <alignment horizontal="center" vertical="top" wrapText="1"/>
    </xf>
    <xf numFmtId="0" fontId="5" fillId="0" borderId="9" xfId="0" applyFont="1" applyBorder="1" applyAlignment="1">
      <alignment horizontal="center" vertical="top" wrapText="1"/>
    </xf>
    <xf numFmtId="164" fontId="5" fillId="0" borderId="11" xfId="0" applyNumberFormat="1" applyFont="1" applyBorder="1" applyAlignment="1">
      <alignment horizontal="center" vertical="top" wrapText="1"/>
    </xf>
    <xf numFmtId="164" fontId="5" fillId="0" borderId="6" xfId="0" applyNumberFormat="1" applyFont="1" applyBorder="1" applyAlignment="1">
      <alignment horizontal="center" vertical="top" wrapText="1"/>
    </xf>
    <xf numFmtId="49" fontId="8" fillId="5" borderId="8" xfId="0" applyNumberFormat="1" applyFont="1" applyFill="1" applyBorder="1" applyAlignment="1">
      <alignment horizontal="center" vertical="top" wrapText="1"/>
    </xf>
    <xf numFmtId="49" fontId="7" fillId="5" borderId="8" xfId="0" applyNumberFormat="1" applyFont="1" applyFill="1" applyBorder="1" applyAlignment="1">
      <alignment horizontal="center" vertical="top" wrapText="1"/>
    </xf>
    <xf numFmtId="0" fontId="7" fillId="5" borderId="8" xfId="0" applyFont="1" applyFill="1" applyBorder="1" applyAlignment="1">
      <alignment horizontal="center" vertical="top" wrapText="1"/>
    </xf>
    <xf numFmtId="164" fontId="5" fillId="8" borderId="6" xfId="0" applyNumberFormat="1" applyFont="1" applyFill="1" applyBorder="1" applyAlignment="1">
      <alignment horizontal="center" vertical="top" wrapText="1"/>
    </xf>
    <xf numFmtId="49" fontId="9" fillId="4" borderId="2" xfId="0" applyNumberFormat="1" applyFont="1" applyFill="1" applyBorder="1" applyAlignment="1">
      <alignment horizontal="center" vertical="top" wrapText="1"/>
    </xf>
    <xf numFmtId="49" fontId="10" fillId="5" borderId="3" xfId="0" applyNumberFormat="1" applyFont="1" applyFill="1" applyBorder="1" applyAlignment="1">
      <alignment horizontal="center" vertical="top" wrapText="1"/>
    </xf>
    <xf numFmtId="0" fontId="9" fillId="0" borderId="4" xfId="0" applyFont="1" applyBorder="1" applyAlignment="1">
      <alignment horizontal="center" vertical="top" wrapText="1"/>
    </xf>
    <xf numFmtId="2" fontId="9" fillId="0" borderId="5" xfId="0" applyNumberFormat="1" applyFont="1" applyBorder="1" applyAlignment="1">
      <alignment horizontal="center" vertical="top" wrapText="1"/>
    </xf>
    <xf numFmtId="0" fontId="9" fillId="0" borderId="7" xfId="0" applyFont="1" applyBorder="1" applyAlignment="1">
      <alignment horizontal="center" vertical="top" wrapText="1"/>
    </xf>
    <xf numFmtId="0" fontId="2" fillId="0" borderId="7" xfId="0" applyFont="1" applyBorder="1" applyAlignment="1">
      <alignment horizontal="center" vertical="top" wrapText="1"/>
    </xf>
    <xf numFmtId="49" fontId="2" fillId="5" borderId="8" xfId="0" applyNumberFormat="1" applyFont="1" applyFill="1" applyBorder="1" applyAlignment="1">
      <alignment horizontal="center" vertical="top" wrapText="1"/>
    </xf>
    <xf numFmtId="164" fontId="9" fillId="6" borderId="9" xfId="0" applyNumberFormat="1" applyFont="1" applyFill="1" applyBorder="1" applyAlignment="1">
      <alignment horizontal="center" vertical="top" wrapText="1"/>
    </xf>
    <xf numFmtId="164" fontId="9" fillId="0" borderId="7" xfId="0" applyNumberFormat="1" applyFont="1" applyBorder="1" applyAlignment="1">
      <alignment horizontal="center" vertical="top" wrapText="1"/>
    </xf>
    <xf numFmtId="164" fontId="2" fillId="0" borderId="7" xfId="0" applyNumberFormat="1" applyFont="1" applyBorder="1" applyAlignment="1">
      <alignment horizontal="center" vertical="top" wrapText="1"/>
    </xf>
    <xf numFmtId="164" fontId="2" fillId="0" borderId="6" xfId="0" applyNumberFormat="1" applyFont="1" applyBorder="1" applyAlignment="1">
      <alignment horizontal="center" vertical="top" wrapText="1"/>
    </xf>
    <xf numFmtId="0" fontId="9" fillId="5" borderId="8" xfId="0" applyFont="1" applyFill="1" applyBorder="1" applyAlignment="1">
      <alignment horizontal="center" vertical="top" wrapText="1"/>
    </xf>
    <xf numFmtId="0" fontId="9" fillId="0" borderId="9" xfId="0" applyFont="1" applyBorder="1" applyAlignment="1">
      <alignment horizontal="center" vertical="top" wrapText="1"/>
    </xf>
    <xf numFmtId="0" fontId="2" fillId="0" borderId="6" xfId="0" applyFont="1" applyBorder="1" applyAlignment="1">
      <alignment horizontal="center" vertical="top" wrapText="1"/>
    </xf>
    <xf numFmtId="49" fontId="11" fillId="5" borderId="8" xfId="0" applyNumberFormat="1" applyFont="1" applyFill="1" applyBorder="1" applyAlignment="1">
      <alignment horizontal="center" vertical="top" wrapText="1"/>
    </xf>
    <xf numFmtId="49" fontId="2" fillId="0" borderId="9" xfId="0" applyNumberFormat="1" applyFont="1" applyBorder="1" applyAlignment="1">
      <alignment horizontal="center" vertical="top" wrapText="1"/>
    </xf>
    <xf numFmtId="0" fontId="2" fillId="5" borderId="8" xfId="0" applyFont="1" applyFill="1" applyBorder="1" applyAlignment="1">
      <alignment horizontal="center" vertical="top" wrapText="1"/>
    </xf>
    <xf numFmtId="0" fontId="12" fillId="0" borderId="0" xfId="0" applyFont="1" applyAlignment="1">
      <alignment horizontal="center" vertical="center"/>
    </xf>
    <xf numFmtId="0" fontId="13" fillId="0" borderId="0" xfId="0" applyFont="1" applyAlignment="1">
      <alignment vertical="top" wrapText="1"/>
    </xf>
    <xf numFmtId="0" fontId="1" fillId="0" borderId="0" xfId="0" applyFont="1" applyAlignment="1">
      <alignment horizontal="left" vertical="top" wrapText="1"/>
    </xf>
    <xf numFmtId="0" fontId="0" fillId="0" borderId="0" xfId="0" applyAlignment="1">
      <alignment vertical="top" wrapText="1"/>
    </xf>
    <xf numFmtId="164" fontId="5" fillId="9" borderId="6" xfId="0" applyNumberFormat="1" applyFont="1" applyFill="1" applyBorder="1" applyAlignment="1">
      <alignment horizontal="center" vertical="top" wrapText="1"/>
    </xf>
    <xf numFmtId="164" fontId="7" fillId="10" borderId="6" xfId="0" applyNumberFormat="1" applyFont="1" applyFill="1" applyBorder="1" applyAlignment="1">
      <alignment horizontal="center" vertical="top" wrapText="1"/>
    </xf>
    <xf numFmtId="49" fontId="7" fillId="11" borderId="8" xfId="0" applyNumberFormat="1" applyFont="1" applyFill="1" applyBorder="1" applyAlignment="1">
      <alignment horizontal="center" vertical="top" wrapText="1"/>
    </xf>
    <xf numFmtId="164" fontId="5" fillId="12" borderId="9" xfId="0" applyNumberFormat="1" applyFont="1" applyFill="1" applyBorder="1" applyAlignment="1">
      <alignment horizontal="center" vertical="top" wrapText="1"/>
    </xf>
    <xf numFmtId="164" fontId="5" fillId="12" borderId="10" xfId="0" applyNumberFormat="1" applyFont="1" applyFill="1" applyBorder="1" applyAlignment="1">
      <alignment horizontal="center" vertical="top" wrapText="1"/>
    </xf>
    <xf numFmtId="164" fontId="5" fillId="13" borderId="6" xfId="0" applyNumberFormat="1" applyFont="1" applyFill="1" applyBorder="1" applyAlignment="1">
      <alignment horizontal="center" vertical="top" wrapText="1"/>
    </xf>
    <xf numFmtId="164" fontId="7" fillId="14" borderId="6" xfId="0" applyNumberFormat="1" applyFont="1" applyFill="1" applyBorder="1" applyAlignment="1">
      <alignment horizontal="center" vertical="top" wrapText="1"/>
    </xf>
    <xf numFmtId="49" fontId="7" fillId="15" borderId="8" xfId="0" applyNumberFormat="1" applyFont="1" applyFill="1" applyBorder="1" applyAlignment="1">
      <alignment horizontal="center" vertical="top" wrapText="1"/>
    </xf>
    <xf numFmtId="164" fontId="5" fillId="16" borderId="9" xfId="0" applyNumberFormat="1" applyFont="1" applyFill="1" applyBorder="1" applyAlignment="1">
      <alignment horizontal="center" vertical="top" wrapText="1"/>
    </xf>
    <xf numFmtId="164" fontId="5" fillId="16" borderId="11" xfId="0" applyNumberFormat="1" applyFont="1" applyFill="1" applyBorder="1" applyAlignment="1">
      <alignment horizontal="center" vertical="top" wrapText="1"/>
    </xf>
    <xf numFmtId="0" fontId="4" fillId="10" borderId="0" xfId="0" applyFont="1" applyFill="1" applyAlignment="1">
      <alignment vertical="top" wrapText="1"/>
    </xf>
    <xf numFmtId="0" fontId="0" fillId="10" borderId="0" xfId="0" applyFill="1" applyAlignment="1">
      <alignment vertical="top" wrapText="1"/>
    </xf>
    <xf numFmtId="0" fontId="4" fillId="14" borderId="0" xfId="0" applyFont="1" applyFill="1" applyAlignment="1">
      <alignment vertical="top" wrapText="1"/>
    </xf>
    <xf numFmtId="0" fontId="0" fillId="14" borderId="0" xfId="0" applyFill="1" applyAlignment="1">
      <alignment vertical="top" wrapText="1"/>
    </xf>
    <xf numFmtId="49" fontId="2" fillId="0" borderId="12" xfId="0" applyNumberFormat="1" applyFont="1" applyBorder="1" applyAlignment="1">
      <alignment horizontal="center" vertical="top" wrapText="1"/>
    </xf>
    <xf numFmtId="49" fontId="9" fillId="17" borderId="2" xfId="0" applyNumberFormat="1" applyFont="1" applyFill="1" applyBorder="1" applyAlignment="1">
      <alignment horizontal="center" vertical="top" wrapText="1"/>
    </xf>
    <xf numFmtId="49" fontId="5" fillId="17" borderId="2" xfId="0" applyNumberFormat="1" applyFont="1" applyFill="1" applyBorder="1" applyAlignment="1">
      <alignment horizontal="center" vertical="top" wrapText="1"/>
    </xf>
    <xf numFmtId="164" fontId="5" fillId="19" borderId="6" xfId="0" applyNumberFormat="1" applyFont="1" applyFill="1" applyBorder="1" applyAlignment="1">
      <alignment horizontal="center" vertical="top" wrapText="1"/>
    </xf>
    <xf numFmtId="164" fontId="7" fillId="18" borderId="6" xfId="0" applyNumberFormat="1" applyFont="1" applyFill="1" applyBorder="1" applyAlignment="1">
      <alignment horizontal="center" vertical="top" wrapText="1"/>
    </xf>
    <xf numFmtId="0" fontId="4" fillId="18" borderId="0" xfId="0" applyFont="1" applyFill="1" applyAlignment="1">
      <alignment vertical="top" wrapText="1"/>
    </xf>
    <xf numFmtId="0" fontId="0" fillId="18" borderId="0" xfId="0" applyFill="1" applyAlignment="1">
      <alignment vertical="top" wrapText="1"/>
    </xf>
    <xf numFmtId="49" fontId="2" fillId="11" borderId="8" xfId="0" applyNumberFormat="1" applyFont="1" applyFill="1" applyBorder="1" applyAlignment="1">
      <alignment horizontal="center" vertical="top" wrapText="1"/>
    </xf>
    <xf numFmtId="164" fontId="9" fillId="12" borderId="9" xfId="0" applyNumberFormat="1" applyFont="1" applyFill="1" applyBorder="1" applyAlignment="1">
      <alignment horizontal="center" vertical="top" wrapText="1"/>
    </xf>
    <xf numFmtId="2" fontId="9" fillId="14" borderId="5" xfId="0" applyNumberFormat="1" applyFont="1" applyFill="1" applyBorder="1" applyAlignment="1">
      <alignment horizontal="center" vertical="top" wrapText="1"/>
    </xf>
    <xf numFmtId="164" fontId="9" fillId="14" borderId="7" xfId="0" applyNumberFormat="1" applyFont="1" applyFill="1" applyBorder="1" applyAlignment="1">
      <alignment horizontal="center" vertical="top" wrapText="1"/>
    </xf>
    <xf numFmtId="164" fontId="2" fillId="14" borderId="7" xfId="0" applyNumberFormat="1" applyFont="1" applyFill="1" applyBorder="1" applyAlignment="1">
      <alignment horizontal="center" vertical="top" wrapText="1"/>
    </xf>
    <xf numFmtId="164" fontId="2" fillId="14" borderId="6" xfId="0" applyNumberFormat="1" applyFont="1" applyFill="1" applyBorder="1" applyAlignment="1">
      <alignment horizontal="center" vertical="top" wrapText="1"/>
    </xf>
    <xf numFmtId="49" fontId="2" fillId="15" borderId="8" xfId="0" applyNumberFormat="1" applyFont="1" applyFill="1" applyBorder="1" applyAlignment="1">
      <alignment horizontal="center" vertical="top" wrapText="1"/>
    </xf>
    <xf numFmtId="49" fontId="2" fillId="10" borderId="9" xfId="0" applyNumberFormat="1" applyFont="1" applyFill="1" applyBorder="1" applyAlignment="1">
      <alignment horizontal="center" vertical="top" wrapText="1"/>
    </xf>
    <xf numFmtId="2" fontId="9" fillId="10" borderId="5" xfId="0" applyNumberFormat="1" applyFont="1" applyFill="1" applyBorder="1" applyAlignment="1">
      <alignment horizontal="center" vertical="top" wrapText="1"/>
    </xf>
    <xf numFmtId="49" fontId="2" fillId="10" borderId="12" xfId="0" applyNumberFormat="1" applyFont="1" applyFill="1" applyBorder="1" applyAlignment="1">
      <alignment horizontal="center" vertical="top" wrapText="1"/>
    </xf>
    <xf numFmtId="164" fontId="9" fillId="10" borderId="7" xfId="0" applyNumberFormat="1" applyFont="1" applyFill="1" applyBorder="1" applyAlignment="1">
      <alignment horizontal="center" vertical="top" wrapText="1"/>
    </xf>
    <xf numFmtId="164" fontId="2" fillId="10" borderId="7" xfId="0" applyNumberFormat="1" applyFont="1" applyFill="1" applyBorder="1" applyAlignment="1">
      <alignment horizontal="center" vertical="top" wrapText="1"/>
    </xf>
    <xf numFmtId="164" fontId="2" fillId="10" borderId="6" xfId="0" applyNumberFormat="1" applyFont="1" applyFill="1" applyBorder="1" applyAlignment="1">
      <alignment horizontal="center" vertical="top" wrapText="1"/>
    </xf>
    <xf numFmtId="49" fontId="2" fillId="20" borderId="8" xfId="0" applyNumberFormat="1" applyFont="1" applyFill="1" applyBorder="1" applyAlignment="1">
      <alignment horizontal="center" vertical="top" wrapText="1"/>
    </xf>
    <xf numFmtId="49" fontId="2" fillId="18" borderId="9" xfId="0" applyNumberFormat="1" applyFont="1" applyFill="1" applyBorder="1" applyAlignment="1">
      <alignment horizontal="center" vertical="top" wrapText="1"/>
    </xf>
    <xf numFmtId="2" fontId="9" fillId="18" borderId="5" xfId="0" applyNumberFormat="1" applyFont="1" applyFill="1" applyBorder="1" applyAlignment="1">
      <alignment horizontal="center" vertical="top" wrapText="1"/>
    </xf>
    <xf numFmtId="49" fontId="2" fillId="18" borderId="12" xfId="0" applyNumberFormat="1" applyFont="1" applyFill="1" applyBorder="1" applyAlignment="1">
      <alignment horizontal="center" vertical="top" wrapText="1"/>
    </xf>
    <xf numFmtId="164" fontId="9" fillId="18" borderId="7" xfId="0" applyNumberFormat="1" applyFont="1" applyFill="1" applyBorder="1" applyAlignment="1">
      <alignment horizontal="center" vertical="top" wrapText="1"/>
    </xf>
    <xf numFmtId="164" fontId="2" fillId="18" borderId="7" xfId="0" applyNumberFormat="1" applyFont="1" applyFill="1" applyBorder="1" applyAlignment="1">
      <alignment horizontal="center" vertical="top" wrapText="1"/>
    </xf>
    <xf numFmtId="164" fontId="2" fillId="18" borderId="6" xfId="0" applyNumberFormat="1" applyFont="1" applyFill="1" applyBorder="1" applyAlignment="1">
      <alignment horizontal="center" vertical="top" wrapText="1"/>
    </xf>
    <xf numFmtId="49" fontId="2" fillId="0" borderId="8" xfId="0" applyNumberFormat="1" applyFont="1" applyFill="1" applyBorder="1" applyAlignment="1">
      <alignment horizontal="center" vertical="top" wrapText="1"/>
    </xf>
    <xf numFmtId="49" fontId="2" fillId="0" borderId="9" xfId="0" applyNumberFormat="1" applyFont="1" applyFill="1" applyBorder="1" applyAlignment="1">
      <alignment horizontal="center" vertical="top" wrapText="1"/>
    </xf>
    <xf numFmtId="2" fontId="9" fillId="0" borderId="5" xfId="0" applyNumberFormat="1" applyFont="1" applyFill="1" applyBorder="1" applyAlignment="1">
      <alignment horizontal="center" vertical="top" wrapText="1"/>
    </xf>
    <xf numFmtId="49" fontId="2" fillId="0" borderId="12" xfId="0" applyNumberFormat="1" applyFont="1" applyFill="1" applyBorder="1" applyAlignment="1">
      <alignment horizontal="center" vertical="top" wrapText="1"/>
    </xf>
    <xf numFmtId="164" fontId="9" fillId="0" borderId="7" xfId="0" applyNumberFormat="1" applyFont="1" applyFill="1" applyBorder="1" applyAlignment="1">
      <alignment horizontal="center" vertical="top" wrapText="1"/>
    </xf>
    <xf numFmtId="164" fontId="2" fillId="0" borderId="7" xfId="0" applyNumberFormat="1" applyFont="1" applyFill="1" applyBorder="1" applyAlignment="1">
      <alignment horizontal="center" vertical="top" wrapText="1"/>
    </xf>
    <xf numFmtId="164" fontId="2" fillId="0" borderId="6" xfId="0" applyNumberFormat="1" applyFont="1" applyFill="1" applyBorder="1" applyAlignment="1">
      <alignment horizontal="center" vertical="top" wrapText="1"/>
    </xf>
    <xf numFmtId="0" fontId="4" fillId="0" borderId="0" xfId="0" applyFont="1" applyFill="1" applyAlignment="1">
      <alignment vertical="top" wrapText="1"/>
    </xf>
    <xf numFmtId="0" fontId="0" fillId="0" borderId="0" xfId="0" applyFill="1" applyAlignment="1">
      <alignment vertical="top" wrapText="1"/>
    </xf>
  </cellXfs>
  <cellStyles count="1">
    <cellStyle name="Normal" xfId="0" builtinId="0"/>
  </cellStyles>
  <dxfs count="1">
    <dxf>
      <font>
        <color rgb="FF000000"/>
      </font>
      <fill>
        <patternFill patternType="solid">
          <fgColor rgb="FF88CCFF"/>
          <bgColor rgb="FF88CC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0000FF"/>
      </a:folHlink>
    </a:clrScheme>
    <a:fontScheme name="Sheets">
      <a:majorFont>
        <a:latin typeface="Helvetica Neue"/>
        <a:ea typeface="Helvetica Neue"/>
        <a:cs typeface="Helvetica Neue"/>
      </a:majorFont>
      <a:minorFont>
        <a:latin typeface="Helvetica Neue"/>
        <a:ea typeface="Helvetica Neue"/>
        <a:cs typeface="Helvetica Neu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D1000"/>
  <sheetViews>
    <sheetView showGridLines="0" workbookViewId="0">
      <selection activeCell="D10" sqref="D10"/>
    </sheetView>
  </sheetViews>
  <sheetFormatPr baseColWidth="10" defaultColWidth="14.42578125" defaultRowHeight="15" customHeight="1"/>
  <cols>
    <col min="1" max="1" width="2" customWidth="1"/>
    <col min="2" max="4" width="33.5703125" customWidth="1"/>
    <col min="5" max="26" width="10" customWidth="1"/>
  </cols>
  <sheetData>
    <row r="1" spans="2:4" ht="12.75" customHeight="1"/>
    <row r="2" spans="2:4" ht="12.75" customHeight="1"/>
    <row r="3" spans="2:4" ht="49.5" customHeight="1">
      <c r="B3" s="45" t="s">
        <v>0</v>
      </c>
      <c r="C3" s="46"/>
      <c r="D3" s="46"/>
    </row>
    <row r="4" spans="2:4" ht="12.75" customHeight="1"/>
    <row r="5" spans="2:4" ht="12.75" customHeight="1"/>
    <row r="6" spans="2:4" ht="12.75" customHeight="1"/>
    <row r="7" spans="2:4" ht="18">
      <c r="B7" s="1" t="s">
        <v>1</v>
      </c>
      <c r="C7" s="1" t="s">
        <v>2</v>
      </c>
      <c r="D7" s="1" t="s">
        <v>3</v>
      </c>
    </row>
    <row r="8" spans="2:4" ht="12.75" customHeight="1"/>
    <row r="9" spans="2:4" ht="12.75" customHeight="1">
      <c r="B9" s="2" t="s">
        <v>4</v>
      </c>
      <c r="C9" s="2"/>
      <c r="D9" s="2"/>
    </row>
    <row r="10" spans="2:4" ht="12.75" customHeight="1">
      <c r="B10" s="3"/>
      <c r="C10" s="3" t="s">
        <v>5</v>
      </c>
      <c r="D10" s="4" t="s">
        <v>6</v>
      </c>
    </row>
    <row r="11" spans="2:4" ht="12.75" customHeight="1">
      <c r="B11" s="2" t="s">
        <v>7</v>
      </c>
      <c r="C11" s="2"/>
      <c r="D11" s="2"/>
    </row>
    <row r="12" spans="2:4" ht="12.75" customHeight="1">
      <c r="B12" s="3"/>
      <c r="C12" s="3" t="s">
        <v>5</v>
      </c>
      <c r="D12" s="4" t="s">
        <v>8</v>
      </c>
    </row>
    <row r="13" spans="2:4" ht="12.75" customHeight="1"/>
    <row r="14" spans="2:4" ht="12.75" customHeight="1"/>
    <row r="15" spans="2:4" ht="12.75" customHeight="1"/>
    <row r="16" spans="2:4"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1">
    <mergeCell ref="B3:D3"/>
  </mergeCells>
  <hyperlinks>
    <hyperlink ref="D10" location="'In Store - Food Item Prices and'!A1" display="In Store - Food Item Prices and" xr:uid="{00000000-0004-0000-0000-000000000000}"/>
    <hyperlink ref="D12" location="'3rd Party - Food Item Prices an'!A1" display="3rd Party - Food Item Prices an" xr:uid="{00000000-0004-0000-0000-000001000000}"/>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B1004"/>
  <sheetViews>
    <sheetView showGridLines="0" zoomScale="68" zoomScaleNormal="68" workbookViewId="0">
      <pane xSplit="1" ySplit="2" topLeftCell="B37" activePane="bottomRight" state="frozen"/>
      <selection pane="topRight" activeCell="B1" sqref="B1"/>
      <selection pane="bottomLeft" activeCell="A3" sqref="A3"/>
      <selection pane="bottomRight" sqref="A1:I1"/>
    </sheetView>
  </sheetViews>
  <sheetFormatPr baseColWidth="10" defaultColWidth="14.42578125" defaultRowHeight="12.75"/>
  <cols>
    <col min="1" max="1" width="53" customWidth="1"/>
    <col min="2" max="9" width="16.42578125" customWidth="1"/>
    <col min="10" max="28" width="53.42578125" customWidth="1"/>
  </cols>
  <sheetData>
    <row r="1" spans="1:28" ht="23.25">
      <c r="A1" s="43" t="s">
        <v>126</v>
      </c>
      <c r="B1" s="44"/>
      <c r="C1" s="44"/>
      <c r="D1" s="44"/>
      <c r="E1" s="44"/>
      <c r="F1" s="44"/>
      <c r="G1" s="44"/>
      <c r="H1" s="44"/>
      <c r="I1" s="44"/>
      <c r="J1" s="5"/>
      <c r="K1" s="5"/>
      <c r="L1" s="5"/>
      <c r="M1" s="5"/>
      <c r="N1" s="5"/>
      <c r="O1" s="5"/>
      <c r="P1" s="5"/>
      <c r="Q1" s="5"/>
      <c r="R1" s="5"/>
      <c r="S1" s="5"/>
      <c r="T1" s="5"/>
      <c r="U1" s="5"/>
      <c r="V1" s="5"/>
      <c r="W1" s="5"/>
      <c r="X1" s="5"/>
      <c r="Y1" s="5"/>
      <c r="Z1" s="5"/>
      <c r="AA1" s="5"/>
      <c r="AB1" s="5"/>
    </row>
    <row r="2" spans="1:28" ht="78.75" customHeight="1">
      <c r="A2" s="6" t="s">
        <v>9</v>
      </c>
      <c r="B2" s="6" t="s">
        <v>10</v>
      </c>
      <c r="C2" s="6" t="s">
        <v>11</v>
      </c>
      <c r="D2" s="6" t="s">
        <v>12</v>
      </c>
      <c r="E2" s="63" t="s">
        <v>128</v>
      </c>
      <c r="F2" s="6" t="s">
        <v>13</v>
      </c>
      <c r="G2" s="6" t="s">
        <v>14</v>
      </c>
      <c r="H2" s="6" t="s">
        <v>15</v>
      </c>
      <c r="I2" s="6" t="s">
        <v>16</v>
      </c>
      <c r="J2" s="5"/>
      <c r="K2" s="5"/>
      <c r="L2" s="5"/>
      <c r="M2" s="5"/>
      <c r="N2" s="5"/>
      <c r="O2" s="5"/>
      <c r="P2" s="5"/>
      <c r="Q2" s="5"/>
      <c r="R2" s="5"/>
      <c r="S2" s="5"/>
      <c r="T2" s="5"/>
      <c r="U2" s="5"/>
      <c r="V2" s="5"/>
      <c r="W2" s="5"/>
      <c r="X2" s="5"/>
      <c r="Y2" s="5"/>
      <c r="Z2" s="5"/>
      <c r="AA2" s="5"/>
      <c r="AB2" s="5"/>
    </row>
    <row r="3" spans="1:28" ht="20.25">
      <c r="A3" s="7" t="s">
        <v>17</v>
      </c>
      <c r="B3" s="8"/>
      <c r="C3" s="9"/>
      <c r="D3" s="10"/>
      <c r="E3" s="10"/>
      <c r="F3" s="10"/>
      <c r="G3" s="11"/>
      <c r="H3" s="12"/>
      <c r="I3" s="11"/>
      <c r="J3" s="5"/>
      <c r="K3" s="5"/>
      <c r="L3" s="5"/>
      <c r="M3" s="5"/>
      <c r="N3" s="5"/>
      <c r="O3" s="5"/>
      <c r="P3" s="5"/>
      <c r="Q3" s="5"/>
      <c r="R3" s="5"/>
      <c r="S3" s="5"/>
      <c r="T3" s="5"/>
      <c r="U3" s="5"/>
      <c r="V3" s="5"/>
      <c r="W3" s="5"/>
      <c r="X3" s="5"/>
      <c r="Y3" s="5"/>
      <c r="Z3" s="5"/>
      <c r="AA3" s="5"/>
      <c r="AB3" s="5"/>
    </row>
    <row r="4" spans="1:28" ht="20.25">
      <c r="A4" s="13" t="s">
        <v>18</v>
      </c>
      <c r="B4" s="14">
        <v>2.0942249999999998</v>
      </c>
      <c r="C4" s="15">
        <v>2.1889362500000002</v>
      </c>
      <c r="D4" s="16">
        <v>2.2883830625000003</v>
      </c>
      <c r="E4" s="64">
        <v>2.29</v>
      </c>
      <c r="F4" s="16">
        <f>SUM(D4,G4,H4)</f>
        <v>2.3928022156250006</v>
      </c>
      <c r="G4" s="17">
        <f>D4*0.05</f>
        <v>0.11441915312500002</v>
      </c>
      <c r="H4" s="17">
        <v>-0.01</v>
      </c>
      <c r="I4" s="17">
        <f>F4-D4</f>
        <v>0.10441915312500027</v>
      </c>
      <c r="J4" s="5"/>
      <c r="K4" s="5"/>
      <c r="L4" s="5"/>
      <c r="M4" s="5"/>
      <c r="N4" s="5"/>
      <c r="O4" s="5"/>
      <c r="P4" s="5"/>
      <c r="Q4" s="5"/>
      <c r="R4" s="5"/>
      <c r="S4" s="5"/>
      <c r="T4" s="5"/>
      <c r="U4" s="5"/>
      <c r="V4" s="5"/>
      <c r="W4" s="5"/>
      <c r="X4" s="5"/>
      <c r="Y4" s="5"/>
      <c r="Z4" s="5"/>
      <c r="AA4" s="5"/>
      <c r="AB4" s="5"/>
    </row>
    <row r="5" spans="1:28" ht="20.25">
      <c r="A5" s="18"/>
      <c r="B5" s="19"/>
      <c r="C5" s="20"/>
      <c r="D5" s="10"/>
      <c r="E5" s="10"/>
      <c r="F5" s="21"/>
      <c r="G5" s="17"/>
      <c r="H5" s="11"/>
      <c r="I5" s="17"/>
      <c r="J5" s="5"/>
      <c r="K5" s="5"/>
      <c r="L5" s="5"/>
      <c r="M5" s="5"/>
      <c r="N5" s="5"/>
      <c r="O5" s="5"/>
      <c r="P5" s="5"/>
      <c r="Q5" s="5"/>
      <c r="R5" s="5"/>
      <c r="S5" s="5"/>
      <c r="T5" s="5"/>
      <c r="U5" s="5"/>
      <c r="V5" s="5"/>
      <c r="W5" s="5"/>
      <c r="X5" s="5"/>
      <c r="Y5" s="5"/>
      <c r="Z5" s="5"/>
      <c r="AA5" s="5"/>
      <c r="AB5" s="5"/>
    </row>
    <row r="6" spans="1:28" ht="20.25">
      <c r="A6" s="22" t="s">
        <v>19</v>
      </c>
      <c r="B6" s="19"/>
      <c r="C6" s="20"/>
      <c r="D6" s="10"/>
      <c r="E6" s="10"/>
      <c r="F6" s="21"/>
      <c r="G6" s="17"/>
      <c r="H6" s="11"/>
      <c r="I6" s="17"/>
      <c r="J6" s="5"/>
      <c r="K6" s="5"/>
      <c r="L6" s="5"/>
      <c r="M6" s="5"/>
      <c r="N6" s="5"/>
      <c r="O6" s="5"/>
      <c r="P6" s="5"/>
      <c r="Q6" s="5"/>
      <c r="R6" s="5"/>
      <c r="S6" s="5"/>
      <c r="T6" s="5"/>
      <c r="U6" s="5"/>
      <c r="V6" s="5"/>
      <c r="W6" s="5"/>
      <c r="X6" s="5"/>
      <c r="Y6" s="5"/>
      <c r="Z6" s="5"/>
      <c r="AA6" s="5"/>
      <c r="AB6" s="5"/>
    </row>
    <row r="7" spans="1:28" ht="20.25">
      <c r="A7" s="23" t="s">
        <v>18</v>
      </c>
      <c r="B7" s="14">
        <v>4.0892249999999999</v>
      </c>
      <c r="C7" s="15">
        <v>4.2936862500000004</v>
      </c>
      <c r="D7" s="16">
        <v>4.488370562500001</v>
      </c>
      <c r="E7" s="64">
        <v>4.49</v>
      </c>
      <c r="F7" s="16">
        <f t="shared" ref="F7:F8" si="0">SUM(D7,G7,H7)</f>
        <v>4.6927890906250012</v>
      </c>
      <c r="G7" s="17">
        <f t="shared" ref="G7:G8" si="1">D7*0.05</f>
        <v>0.22441852812500007</v>
      </c>
      <c r="H7" s="17">
        <v>-0.02</v>
      </c>
      <c r="I7" s="17">
        <f t="shared" ref="I7:I8" si="2">F7-D7</f>
        <v>0.20441852812500017</v>
      </c>
      <c r="J7" s="5"/>
      <c r="K7" s="5"/>
      <c r="L7" s="5"/>
      <c r="M7" s="5"/>
      <c r="N7" s="5"/>
      <c r="O7" s="5"/>
      <c r="P7" s="5"/>
      <c r="Q7" s="5"/>
      <c r="R7" s="5"/>
      <c r="S7" s="5"/>
      <c r="T7" s="5"/>
      <c r="U7" s="5"/>
      <c r="V7" s="5"/>
      <c r="W7" s="5"/>
      <c r="X7" s="5"/>
      <c r="Y7" s="5"/>
      <c r="Z7" s="5"/>
      <c r="AA7" s="5"/>
      <c r="AB7" s="5"/>
    </row>
    <row r="8" spans="1:28" ht="20.25">
      <c r="A8" s="23" t="s">
        <v>20</v>
      </c>
      <c r="B8" s="14">
        <v>3.2892250000000001</v>
      </c>
      <c r="C8" s="15">
        <v>3.4936862500000001</v>
      </c>
      <c r="D8" s="16">
        <v>3.6883705625000003</v>
      </c>
      <c r="E8" s="64">
        <v>3.69</v>
      </c>
      <c r="F8" s="16">
        <f t="shared" si="0"/>
        <v>3.8927890906250004</v>
      </c>
      <c r="G8" s="17">
        <f t="shared" si="1"/>
        <v>0.18441852812500004</v>
      </c>
      <c r="H8" s="17">
        <v>0.02</v>
      </c>
      <c r="I8" s="17">
        <f t="shared" si="2"/>
        <v>0.20441852812500017</v>
      </c>
      <c r="J8" s="5"/>
      <c r="K8" s="5"/>
      <c r="L8" s="5"/>
      <c r="M8" s="5"/>
      <c r="N8" s="5"/>
      <c r="O8" s="5"/>
      <c r="P8" s="5"/>
      <c r="Q8" s="5"/>
      <c r="R8" s="5"/>
      <c r="S8" s="5"/>
      <c r="T8" s="5"/>
      <c r="U8" s="5"/>
      <c r="V8" s="5"/>
      <c r="W8" s="5"/>
      <c r="X8" s="5"/>
      <c r="Y8" s="5"/>
      <c r="Z8" s="5"/>
      <c r="AA8" s="5"/>
      <c r="AB8" s="5"/>
    </row>
    <row r="9" spans="1:28" ht="20.25">
      <c r="A9" s="18"/>
      <c r="B9" s="19"/>
      <c r="C9" s="20"/>
      <c r="D9" s="10"/>
      <c r="E9" s="10"/>
      <c r="F9" s="21"/>
      <c r="G9" s="17"/>
      <c r="H9" s="11"/>
      <c r="I9" s="17"/>
      <c r="J9" s="5"/>
      <c r="K9" s="5"/>
      <c r="L9" s="5"/>
      <c r="M9" s="5"/>
      <c r="N9" s="5"/>
      <c r="O9" s="5"/>
      <c r="P9" s="5"/>
      <c r="Q9" s="5"/>
      <c r="R9" s="5"/>
      <c r="S9" s="5"/>
      <c r="T9" s="5"/>
      <c r="U9" s="5"/>
      <c r="V9" s="5"/>
      <c r="W9" s="5"/>
      <c r="X9" s="5"/>
      <c r="Y9" s="5"/>
      <c r="Z9" s="5"/>
      <c r="AA9" s="5"/>
      <c r="AB9" s="5"/>
    </row>
    <row r="10" spans="1:28" ht="20.25">
      <c r="A10" s="22" t="s">
        <v>21</v>
      </c>
      <c r="B10" s="19"/>
      <c r="C10" s="20"/>
      <c r="D10" s="10"/>
      <c r="E10" s="10"/>
      <c r="F10" s="21"/>
      <c r="G10" s="17"/>
      <c r="H10" s="11"/>
      <c r="I10" s="17"/>
      <c r="J10" s="5"/>
      <c r="K10" s="5"/>
      <c r="L10" s="5"/>
      <c r="M10" s="5"/>
      <c r="N10" s="5"/>
      <c r="O10" s="5"/>
      <c r="P10" s="5"/>
      <c r="Q10" s="5"/>
      <c r="R10" s="5"/>
      <c r="S10" s="5"/>
      <c r="T10" s="5"/>
      <c r="U10" s="5"/>
      <c r="V10" s="5"/>
      <c r="W10" s="5"/>
      <c r="X10" s="5"/>
      <c r="Y10" s="5"/>
      <c r="Z10" s="5"/>
      <c r="AA10" s="5"/>
      <c r="AB10" s="5"/>
    </row>
    <row r="11" spans="1:28" ht="20.25">
      <c r="A11" s="13" t="s">
        <v>18</v>
      </c>
      <c r="B11" s="14">
        <v>5.0942249999999998</v>
      </c>
      <c r="C11" s="15">
        <v>5.3889362500000004</v>
      </c>
      <c r="D11" s="16">
        <v>5.6883830625000007</v>
      </c>
      <c r="E11" s="64">
        <v>5.69</v>
      </c>
      <c r="F11" s="16">
        <f t="shared" ref="F11:F12" si="3">SUM(D11,G11,H11)</f>
        <v>5.9928022156250007</v>
      </c>
      <c r="G11" s="17">
        <f t="shared" ref="G11:G12" si="4">D11*0.05</f>
        <v>0.28441915312500005</v>
      </c>
      <c r="H11" s="17">
        <v>0.02</v>
      </c>
      <c r="I11" s="17">
        <f t="shared" ref="I11:I12" si="5">F11-D11</f>
        <v>0.30441915312500001</v>
      </c>
      <c r="J11" s="5"/>
      <c r="K11" s="5"/>
      <c r="L11" s="5"/>
      <c r="M11" s="5"/>
      <c r="N11" s="5"/>
      <c r="O11" s="5"/>
      <c r="P11" s="5"/>
      <c r="Q11" s="5"/>
      <c r="R11" s="5"/>
      <c r="S11" s="5"/>
      <c r="T11" s="5"/>
      <c r="U11" s="5"/>
      <c r="V11" s="5"/>
      <c r="W11" s="5"/>
      <c r="X11" s="5"/>
      <c r="Y11" s="5"/>
      <c r="Z11" s="5"/>
      <c r="AA11" s="5"/>
      <c r="AB11" s="5"/>
    </row>
    <row r="12" spans="1:28" ht="20.25">
      <c r="A12" s="23" t="s">
        <v>20</v>
      </c>
      <c r="B12" s="14">
        <v>4.0892249999999999</v>
      </c>
      <c r="C12" s="15">
        <v>4.2936862500000004</v>
      </c>
      <c r="D12" s="16">
        <v>4.488370562500001</v>
      </c>
      <c r="E12" s="64">
        <v>4.49</v>
      </c>
      <c r="F12" s="16">
        <f t="shared" si="3"/>
        <v>4.6927890906250012</v>
      </c>
      <c r="G12" s="17">
        <f t="shared" si="4"/>
        <v>0.22441852812500007</v>
      </c>
      <c r="H12" s="17">
        <v>-0.02</v>
      </c>
      <c r="I12" s="17">
        <f t="shared" si="5"/>
        <v>0.20441852812500017</v>
      </c>
      <c r="J12" s="5"/>
      <c r="K12" s="5"/>
      <c r="L12" s="5"/>
      <c r="M12" s="5"/>
      <c r="N12" s="5"/>
      <c r="O12" s="5"/>
      <c r="P12" s="5"/>
      <c r="Q12" s="5"/>
      <c r="R12" s="5"/>
      <c r="S12" s="5"/>
      <c r="T12" s="5"/>
      <c r="U12" s="5"/>
      <c r="V12" s="5"/>
      <c r="W12" s="5"/>
      <c r="X12" s="5"/>
      <c r="Y12" s="5"/>
      <c r="Z12" s="5"/>
      <c r="AA12" s="5"/>
      <c r="AB12" s="5"/>
    </row>
    <row r="13" spans="1:28" ht="20.25">
      <c r="A13" s="18"/>
      <c r="B13" s="19"/>
      <c r="C13" s="20"/>
      <c r="D13" s="10"/>
      <c r="E13" s="10"/>
      <c r="F13" s="21"/>
      <c r="G13" s="17"/>
      <c r="H13" s="11"/>
      <c r="I13" s="17"/>
      <c r="J13" s="5"/>
      <c r="K13" s="5"/>
      <c r="L13" s="5"/>
      <c r="M13" s="5"/>
      <c r="N13" s="5"/>
      <c r="O13" s="5"/>
      <c r="P13" s="5"/>
      <c r="Q13" s="5"/>
      <c r="R13" s="5"/>
      <c r="S13" s="5"/>
      <c r="T13" s="5"/>
      <c r="U13" s="5"/>
      <c r="V13" s="5"/>
      <c r="W13" s="5"/>
      <c r="X13" s="5"/>
      <c r="Y13" s="5"/>
      <c r="Z13" s="5"/>
      <c r="AA13" s="5"/>
      <c r="AB13" s="5"/>
    </row>
    <row r="14" spans="1:28" ht="20.25">
      <c r="A14" s="22" t="s">
        <v>22</v>
      </c>
      <c r="B14" s="19"/>
      <c r="C14" s="20"/>
      <c r="D14" s="10"/>
      <c r="E14" s="10"/>
      <c r="F14" s="21"/>
      <c r="G14" s="17"/>
      <c r="H14" s="11"/>
      <c r="I14" s="17"/>
      <c r="J14" s="5"/>
      <c r="K14" s="5"/>
      <c r="L14" s="5"/>
      <c r="M14" s="5"/>
      <c r="N14" s="5"/>
      <c r="O14" s="5"/>
      <c r="P14" s="5"/>
      <c r="Q14" s="5"/>
      <c r="R14" s="5"/>
      <c r="S14" s="5"/>
      <c r="T14" s="5"/>
      <c r="U14" s="5"/>
      <c r="V14" s="5"/>
      <c r="W14" s="5"/>
      <c r="X14" s="5"/>
      <c r="Y14" s="5"/>
      <c r="Z14" s="5"/>
      <c r="AA14" s="5"/>
      <c r="AB14" s="5"/>
    </row>
    <row r="15" spans="1:28" ht="20.25">
      <c r="A15" s="23" t="s">
        <v>23</v>
      </c>
      <c r="B15" s="14">
        <v>4.0892249999999999</v>
      </c>
      <c r="C15" s="15">
        <v>4.2936862500000004</v>
      </c>
      <c r="D15" s="16">
        <v>4.488370562500001</v>
      </c>
      <c r="E15" s="64">
        <v>4.49</v>
      </c>
      <c r="F15" s="16">
        <f t="shared" ref="F15:F16" si="6">SUM(D15,G15,H15)</f>
        <v>4.6927890906250012</v>
      </c>
      <c r="G15" s="17">
        <f t="shared" ref="G15:G16" si="7">D15*0.05</f>
        <v>0.22441852812500007</v>
      </c>
      <c r="H15" s="17">
        <v>-0.02</v>
      </c>
      <c r="I15" s="17">
        <f t="shared" ref="I15:I16" si="8">F15-D15</f>
        <v>0.20441852812500017</v>
      </c>
      <c r="J15" s="5"/>
      <c r="K15" s="5"/>
      <c r="L15" s="5"/>
      <c r="M15" s="5"/>
      <c r="N15" s="5"/>
      <c r="O15" s="5"/>
      <c r="P15" s="5"/>
      <c r="Q15" s="5"/>
      <c r="R15" s="5"/>
      <c r="S15" s="5"/>
      <c r="T15" s="5"/>
      <c r="U15" s="5"/>
      <c r="V15" s="5"/>
      <c r="W15" s="5"/>
      <c r="X15" s="5"/>
      <c r="Y15" s="5"/>
      <c r="Z15" s="5"/>
      <c r="AA15" s="5"/>
      <c r="AB15" s="5"/>
    </row>
    <row r="16" spans="1:28" ht="20.25">
      <c r="A16" s="23" t="s">
        <v>24</v>
      </c>
      <c r="B16" s="14">
        <v>3.2892250000000001</v>
      </c>
      <c r="C16" s="15">
        <v>3.4936862500000001</v>
      </c>
      <c r="D16" s="16">
        <v>3.6883705625000003</v>
      </c>
      <c r="E16" s="64">
        <v>3.69</v>
      </c>
      <c r="F16" s="16">
        <f t="shared" si="6"/>
        <v>3.8927890906250004</v>
      </c>
      <c r="G16" s="17">
        <f t="shared" si="7"/>
        <v>0.18441852812500004</v>
      </c>
      <c r="H16" s="17">
        <v>0.02</v>
      </c>
      <c r="I16" s="17">
        <f t="shared" si="8"/>
        <v>0.20441852812500017</v>
      </c>
      <c r="J16" s="5"/>
      <c r="K16" s="5"/>
      <c r="L16" s="5"/>
      <c r="M16" s="5"/>
      <c r="N16" s="5"/>
      <c r="O16" s="5"/>
      <c r="P16" s="5"/>
      <c r="Q16" s="5"/>
      <c r="R16" s="5"/>
      <c r="S16" s="5"/>
      <c r="T16" s="5"/>
      <c r="U16" s="5"/>
      <c r="V16" s="5"/>
      <c r="W16" s="5"/>
      <c r="X16" s="5"/>
      <c r="Y16" s="5"/>
      <c r="Z16" s="5"/>
      <c r="AA16" s="5"/>
      <c r="AB16" s="5"/>
    </row>
    <row r="17" spans="1:28" ht="20.25">
      <c r="A17" s="18"/>
      <c r="B17" s="19"/>
      <c r="C17" s="20"/>
      <c r="D17" s="10"/>
      <c r="E17" s="10"/>
      <c r="F17" s="21"/>
      <c r="G17" s="17"/>
      <c r="H17" s="11"/>
      <c r="I17" s="17"/>
      <c r="J17" s="5"/>
      <c r="K17" s="5"/>
      <c r="L17" s="5"/>
      <c r="M17" s="5"/>
      <c r="N17" s="5"/>
      <c r="O17" s="5"/>
      <c r="P17" s="5"/>
      <c r="Q17" s="5"/>
      <c r="R17" s="5"/>
      <c r="S17" s="5"/>
      <c r="T17" s="5"/>
      <c r="U17" s="5"/>
      <c r="V17" s="5"/>
      <c r="W17" s="5"/>
      <c r="X17" s="5"/>
      <c r="Y17" s="5"/>
      <c r="Z17" s="5"/>
      <c r="AA17" s="5"/>
      <c r="AB17" s="5"/>
    </row>
    <row r="18" spans="1:28" ht="20.25">
      <c r="A18" s="22" t="s">
        <v>25</v>
      </c>
      <c r="B18" s="19"/>
      <c r="C18" s="20"/>
      <c r="D18" s="10"/>
      <c r="E18" s="10"/>
      <c r="F18" s="21"/>
      <c r="G18" s="17"/>
      <c r="H18" s="11"/>
      <c r="I18" s="17"/>
      <c r="J18" s="5"/>
      <c r="K18" s="5"/>
      <c r="L18" s="5"/>
      <c r="M18" s="5"/>
      <c r="N18" s="5"/>
      <c r="O18" s="5"/>
      <c r="P18" s="5"/>
      <c r="Q18" s="5"/>
      <c r="R18" s="5"/>
      <c r="S18" s="5"/>
      <c r="T18" s="5"/>
      <c r="U18" s="5"/>
      <c r="V18" s="5"/>
      <c r="W18" s="5"/>
      <c r="X18" s="5"/>
      <c r="Y18" s="5"/>
      <c r="Z18" s="5"/>
      <c r="AA18" s="5"/>
      <c r="AB18" s="5"/>
    </row>
    <row r="19" spans="1:28" ht="20.25">
      <c r="A19" s="13" t="s">
        <v>18</v>
      </c>
      <c r="B19" s="14">
        <v>7.7889749999999998</v>
      </c>
      <c r="C19" s="15">
        <v>8.1884237500000001</v>
      </c>
      <c r="D19" s="16">
        <v>8.5878449374999999</v>
      </c>
      <c r="E19" s="64">
        <v>8.59</v>
      </c>
      <c r="F19" s="16">
        <f t="shared" ref="F19:F21" si="9">SUM(D19,G19,H19)</f>
        <v>8.987237184375001</v>
      </c>
      <c r="G19" s="17">
        <f t="shared" ref="G19:G21" si="10">D19*0.05</f>
        <v>0.42939224687499999</v>
      </c>
      <c r="H19" s="17">
        <v>-0.03</v>
      </c>
      <c r="I19" s="17">
        <f t="shared" ref="I19:I21" si="11">F19-D19</f>
        <v>0.39939224687500108</v>
      </c>
      <c r="J19" s="5"/>
      <c r="K19" s="5"/>
      <c r="L19" s="5"/>
      <c r="M19" s="5"/>
      <c r="N19" s="5"/>
      <c r="O19" s="5"/>
      <c r="P19" s="5"/>
      <c r="Q19" s="5"/>
      <c r="R19" s="5"/>
      <c r="S19" s="5"/>
      <c r="T19" s="5"/>
      <c r="U19" s="5"/>
      <c r="V19" s="5"/>
      <c r="W19" s="5"/>
      <c r="X19" s="5"/>
      <c r="Y19" s="5"/>
      <c r="Z19" s="5"/>
      <c r="AA19" s="5"/>
      <c r="AB19" s="5"/>
    </row>
    <row r="20" spans="1:28" ht="20.25">
      <c r="A20" s="23" t="s">
        <v>26</v>
      </c>
      <c r="B20" s="14">
        <v>5.5939750000000004</v>
      </c>
      <c r="C20" s="15">
        <v>5.8936737500000005</v>
      </c>
      <c r="D20" s="16">
        <v>6.1883574375000006</v>
      </c>
      <c r="E20" s="64">
        <v>6.19</v>
      </c>
      <c r="F20" s="16">
        <f t="shared" si="9"/>
        <v>6.4877753093750012</v>
      </c>
      <c r="G20" s="17">
        <f t="shared" si="10"/>
        <v>0.30941787187500003</v>
      </c>
      <c r="H20" s="17">
        <v>-0.01</v>
      </c>
      <c r="I20" s="17">
        <f t="shared" si="11"/>
        <v>0.29941787187500069</v>
      </c>
      <c r="J20" s="5"/>
      <c r="K20" s="5"/>
      <c r="L20" s="5"/>
      <c r="M20" s="5"/>
      <c r="N20" s="5"/>
      <c r="O20" s="5"/>
      <c r="P20" s="5"/>
      <c r="Q20" s="5"/>
      <c r="R20" s="5"/>
      <c r="S20" s="5"/>
      <c r="T20" s="5"/>
      <c r="U20" s="5"/>
      <c r="V20" s="5"/>
      <c r="W20" s="5"/>
      <c r="X20" s="5"/>
      <c r="Y20" s="5"/>
      <c r="Z20" s="5"/>
      <c r="AA20" s="5"/>
      <c r="AB20" s="5"/>
    </row>
    <row r="21" spans="1:28" ht="20.25">
      <c r="A21" s="23" t="s">
        <v>27</v>
      </c>
      <c r="B21" s="14">
        <v>5.0942249999999998</v>
      </c>
      <c r="C21" s="15">
        <v>5.3889362500000004</v>
      </c>
      <c r="D21" s="16">
        <v>5.6883830625000007</v>
      </c>
      <c r="E21" s="64">
        <v>5.69</v>
      </c>
      <c r="F21" s="16">
        <f t="shared" si="9"/>
        <v>5.9928022156250007</v>
      </c>
      <c r="G21" s="17">
        <f t="shared" si="10"/>
        <v>0.28441915312500005</v>
      </c>
      <c r="H21" s="17">
        <v>0.02</v>
      </c>
      <c r="I21" s="17">
        <f t="shared" si="11"/>
        <v>0.30441915312500001</v>
      </c>
      <c r="J21" s="5"/>
      <c r="K21" s="5"/>
      <c r="L21" s="5"/>
      <c r="M21" s="5"/>
      <c r="N21" s="5"/>
      <c r="O21" s="5"/>
      <c r="P21" s="5"/>
      <c r="Q21" s="5"/>
      <c r="R21" s="5"/>
      <c r="S21" s="5"/>
      <c r="T21" s="5"/>
      <c r="U21" s="5"/>
      <c r="V21" s="5"/>
      <c r="W21" s="5"/>
      <c r="X21" s="5"/>
      <c r="Y21" s="5"/>
      <c r="Z21" s="5"/>
      <c r="AA21" s="5"/>
      <c r="AB21" s="5"/>
    </row>
    <row r="22" spans="1:28" ht="20.25">
      <c r="A22" s="18"/>
      <c r="B22" s="19"/>
      <c r="C22" s="20"/>
      <c r="D22" s="10"/>
      <c r="E22" s="10"/>
      <c r="F22" s="21"/>
      <c r="G22" s="17"/>
      <c r="H22" s="11"/>
      <c r="I22" s="17"/>
      <c r="J22" s="5"/>
      <c r="K22" s="5"/>
      <c r="L22" s="5"/>
      <c r="M22" s="5"/>
      <c r="N22" s="5"/>
      <c r="O22" s="5"/>
      <c r="P22" s="5"/>
      <c r="Q22" s="5"/>
      <c r="R22" s="5"/>
      <c r="S22" s="5"/>
      <c r="T22" s="5"/>
      <c r="U22" s="5"/>
      <c r="V22" s="5"/>
      <c r="W22" s="5"/>
      <c r="X22" s="5"/>
      <c r="Y22" s="5"/>
      <c r="Z22" s="5"/>
      <c r="AA22" s="5"/>
      <c r="AB22" s="5"/>
    </row>
    <row r="23" spans="1:28" ht="20.25">
      <c r="A23" s="22" t="s">
        <v>28</v>
      </c>
      <c r="B23" s="19"/>
      <c r="C23" s="20"/>
      <c r="D23" s="10"/>
      <c r="E23" s="10"/>
      <c r="F23" s="21"/>
      <c r="G23" s="17"/>
      <c r="H23" s="11"/>
      <c r="I23" s="17"/>
      <c r="J23" s="5"/>
      <c r="K23" s="5"/>
      <c r="L23" s="5"/>
      <c r="M23" s="5"/>
      <c r="N23" s="5"/>
      <c r="O23" s="5"/>
      <c r="P23" s="5"/>
      <c r="Q23" s="5"/>
      <c r="R23" s="5"/>
      <c r="S23" s="5"/>
      <c r="T23" s="5"/>
      <c r="U23" s="5"/>
      <c r="V23" s="5"/>
      <c r="W23" s="5"/>
      <c r="X23" s="5"/>
      <c r="Y23" s="5"/>
      <c r="Z23" s="5"/>
      <c r="AA23" s="5"/>
      <c r="AB23" s="5"/>
    </row>
    <row r="24" spans="1:28" ht="20.25">
      <c r="A24" s="23" t="s">
        <v>18</v>
      </c>
      <c r="B24" s="14">
        <v>9.4942250000000001</v>
      </c>
      <c r="C24" s="15">
        <v>9.9889362500000001</v>
      </c>
      <c r="D24" s="16">
        <v>10.488383062500001</v>
      </c>
      <c r="E24" s="64">
        <v>10.49</v>
      </c>
      <c r="F24" s="16">
        <f>SUM(D24,G24,H24)</f>
        <v>10.992802215625002</v>
      </c>
      <c r="G24" s="17">
        <f>D24*0.05</f>
        <v>0.52441915312500009</v>
      </c>
      <c r="H24" s="17">
        <v>-0.02</v>
      </c>
      <c r="I24" s="17">
        <f>F24-D24</f>
        <v>0.50441915312500107</v>
      </c>
      <c r="J24" s="5"/>
      <c r="K24" s="5"/>
      <c r="L24" s="5"/>
      <c r="M24" s="5"/>
      <c r="N24" s="5"/>
      <c r="O24" s="5"/>
      <c r="P24" s="5"/>
      <c r="Q24" s="5"/>
      <c r="R24" s="5"/>
      <c r="S24" s="5"/>
      <c r="T24" s="5"/>
      <c r="U24" s="5"/>
      <c r="V24" s="5"/>
      <c r="W24" s="5"/>
      <c r="X24" s="5"/>
      <c r="Y24" s="5"/>
      <c r="Z24" s="5"/>
      <c r="AA24" s="5"/>
      <c r="AB24" s="5"/>
    </row>
    <row r="25" spans="1:28" ht="20.25">
      <c r="A25" s="18"/>
      <c r="B25" s="19"/>
      <c r="C25" s="20"/>
      <c r="D25" s="10"/>
      <c r="E25" s="10"/>
      <c r="F25" s="21"/>
      <c r="G25" s="17"/>
      <c r="H25" s="11"/>
      <c r="I25" s="17"/>
      <c r="J25" s="5"/>
      <c r="K25" s="5"/>
      <c r="L25" s="5"/>
      <c r="M25" s="5"/>
      <c r="N25" s="5"/>
      <c r="O25" s="5"/>
      <c r="P25" s="5"/>
      <c r="Q25" s="5"/>
      <c r="R25" s="5"/>
      <c r="S25" s="5"/>
      <c r="T25" s="5"/>
      <c r="U25" s="5"/>
      <c r="V25" s="5"/>
      <c r="W25" s="5"/>
      <c r="X25" s="5"/>
      <c r="Y25" s="5"/>
      <c r="Z25" s="5"/>
      <c r="AA25" s="5"/>
      <c r="AB25" s="5"/>
    </row>
    <row r="26" spans="1:28" ht="20.25">
      <c r="A26" s="22" t="s">
        <v>29</v>
      </c>
      <c r="B26" s="19"/>
      <c r="C26" s="20"/>
      <c r="D26" s="10"/>
      <c r="E26" s="10"/>
      <c r="F26" s="21"/>
      <c r="G26" s="17"/>
      <c r="H26" s="11"/>
      <c r="I26" s="17"/>
      <c r="J26" s="5"/>
      <c r="K26" s="5"/>
      <c r="L26" s="5"/>
      <c r="M26" s="5"/>
      <c r="N26" s="5"/>
      <c r="O26" s="5"/>
      <c r="P26" s="5"/>
      <c r="Q26" s="5"/>
      <c r="R26" s="5"/>
      <c r="S26" s="5"/>
      <c r="T26" s="5"/>
      <c r="U26" s="5"/>
      <c r="V26" s="5"/>
      <c r="W26" s="5"/>
      <c r="X26" s="5"/>
      <c r="Y26" s="5"/>
      <c r="Z26" s="5"/>
      <c r="AA26" s="5"/>
      <c r="AB26" s="5"/>
    </row>
    <row r="27" spans="1:28" ht="20.25">
      <c r="A27" s="23" t="s">
        <v>18</v>
      </c>
      <c r="B27" s="14">
        <v>8.2892250000000001</v>
      </c>
      <c r="C27" s="15">
        <v>8.6936862500000007</v>
      </c>
      <c r="D27" s="16">
        <v>9.0883705625000015</v>
      </c>
      <c r="E27" s="64">
        <v>9.09</v>
      </c>
      <c r="F27" s="16">
        <f t="shared" ref="F27:F31" si="12">SUM(D27,G27,H27)</f>
        <v>9.492789090625001</v>
      </c>
      <c r="G27" s="17">
        <f t="shared" ref="G27:G31" si="13">D27*0.05</f>
        <v>0.45441852812500011</v>
      </c>
      <c r="H27" s="17">
        <v>-0.05</v>
      </c>
      <c r="I27" s="17">
        <f t="shared" ref="I27:I31" si="14">F27-D27</f>
        <v>0.40441852812499945</v>
      </c>
      <c r="J27" s="5"/>
      <c r="K27" s="5"/>
      <c r="L27" s="5"/>
      <c r="M27" s="5"/>
      <c r="N27" s="5"/>
      <c r="O27" s="5"/>
      <c r="P27" s="5"/>
      <c r="Q27" s="5"/>
      <c r="R27" s="5"/>
      <c r="S27" s="5"/>
      <c r="T27" s="5"/>
      <c r="U27" s="5"/>
      <c r="V27" s="5"/>
      <c r="W27" s="5"/>
      <c r="X27" s="5"/>
      <c r="Y27" s="5"/>
      <c r="Z27" s="5"/>
      <c r="AA27" s="5"/>
      <c r="AB27" s="5"/>
    </row>
    <row r="28" spans="1:28" ht="20.25">
      <c r="A28" s="23" t="s">
        <v>30</v>
      </c>
      <c r="B28" s="14">
        <v>8.8889750000000003</v>
      </c>
      <c r="C28" s="15">
        <v>9.393423750000002</v>
      </c>
      <c r="D28" s="16">
        <v>9.8930949375000008</v>
      </c>
      <c r="E28" s="64">
        <v>9.89</v>
      </c>
      <c r="F28" s="16">
        <f t="shared" si="12"/>
        <v>10.387749684375001</v>
      </c>
      <c r="G28" s="17">
        <f t="shared" si="13"/>
        <v>0.49465474687500005</v>
      </c>
      <c r="H28" s="17">
        <v>0</v>
      </c>
      <c r="I28" s="17">
        <f t="shared" si="14"/>
        <v>0.49465474687499977</v>
      </c>
      <c r="J28" s="5"/>
      <c r="K28" s="5"/>
      <c r="L28" s="5"/>
      <c r="M28" s="5"/>
      <c r="N28" s="5"/>
      <c r="O28" s="5"/>
      <c r="P28" s="5"/>
      <c r="Q28" s="5"/>
      <c r="R28" s="5"/>
      <c r="S28" s="5"/>
      <c r="T28" s="5"/>
      <c r="U28" s="5"/>
      <c r="V28" s="5"/>
      <c r="W28" s="5"/>
      <c r="X28" s="5"/>
      <c r="Y28" s="5"/>
      <c r="Z28" s="5"/>
      <c r="AA28" s="5"/>
      <c r="AB28" s="5"/>
    </row>
    <row r="29" spans="1:28" s="58" customFormat="1" ht="20.25">
      <c r="A29" s="54" t="s">
        <v>129</v>
      </c>
      <c r="B29" s="48"/>
      <c r="C29" s="48"/>
      <c r="D29" s="48"/>
      <c r="E29" s="65">
        <v>7.99</v>
      </c>
      <c r="F29" s="48"/>
      <c r="G29" s="48"/>
      <c r="H29" s="48"/>
      <c r="I29" s="48"/>
      <c r="J29" s="57"/>
      <c r="K29" s="57"/>
      <c r="L29" s="57"/>
      <c r="M29" s="57"/>
      <c r="N29" s="57"/>
      <c r="O29" s="57"/>
      <c r="P29" s="57"/>
      <c r="Q29" s="57"/>
      <c r="R29" s="57"/>
      <c r="S29" s="57"/>
      <c r="T29" s="57"/>
      <c r="U29" s="57"/>
      <c r="V29" s="57"/>
      <c r="W29" s="57"/>
      <c r="X29" s="57"/>
      <c r="Y29" s="57"/>
      <c r="Z29" s="57"/>
      <c r="AA29" s="57"/>
      <c r="AB29" s="57"/>
    </row>
    <row r="30" spans="1:28" ht="20.25">
      <c r="A30" s="23" t="s">
        <v>31</v>
      </c>
      <c r="B30" s="14">
        <v>2.8892250000000002</v>
      </c>
      <c r="C30" s="15">
        <v>3.0936862500000002</v>
      </c>
      <c r="D30" s="16">
        <v>3.2883705625000004</v>
      </c>
      <c r="E30" s="64">
        <v>3.19</v>
      </c>
      <c r="F30" s="16">
        <f t="shared" si="12"/>
        <v>3.4927890906250005</v>
      </c>
      <c r="G30" s="17">
        <f t="shared" si="13"/>
        <v>0.16441852812500002</v>
      </c>
      <c r="H30" s="17">
        <v>0.04</v>
      </c>
      <c r="I30" s="17">
        <f t="shared" si="14"/>
        <v>0.20441852812500017</v>
      </c>
      <c r="J30" s="5"/>
      <c r="K30" s="5"/>
      <c r="L30" s="5"/>
      <c r="M30" s="5"/>
      <c r="N30" s="5"/>
      <c r="O30" s="5"/>
      <c r="P30" s="5"/>
      <c r="Q30" s="5"/>
      <c r="R30" s="5"/>
      <c r="S30" s="5"/>
      <c r="T30" s="5"/>
      <c r="U30" s="5"/>
      <c r="V30" s="5"/>
      <c r="W30" s="5"/>
      <c r="X30" s="5"/>
      <c r="Y30" s="5"/>
      <c r="Z30" s="5"/>
      <c r="AA30" s="5"/>
      <c r="AB30" s="5"/>
    </row>
    <row r="31" spans="1:28" ht="20.25">
      <c r="A31" s="23" t="s">
        <v>32</v>
      </c>
      <c r="B31" s="14">
        <v>2.193975</v>
      </c>
      <c r="C31" s="15">
        <v>2.2936737500000004</v>
      </c>
      <c r="D31" s="16">
        <v>2.3883574375000003</v>
      </c>
      <c r="E31" s="64">
        <v>2.39</v>
      </c>
      <c r="F31" s="16">
        <f t="shared" si="12"/>
        <v>2.4877753093750004</v>
      </c>
      <c r="G31" s="17">
        <f t="shared" si="13"/>
        <v>0.11941787187500003</v>
      </c>
      <c r="H31" s="17">
        <v>-0.02</v>
      </c>
      <c r="I31" s="17">
        <f t="shared" si="14"/>
        <v>9.9417871875000063E-2</v>
      </c>
      <c r="J31" s="5"/>
      <c r="K31" s="5"/>
      <c r="L31" s="5"/>
      <c r="M31" s="5"/>
      <c r="N31" s="5"/>
      <c r="O31" s="5"/>
      <c r="P31" s="5"/>
      <c r="Q31" s="5"/>
      <c r="R31" s="5"/>
      <c r="S31" s="5"/>
      <c r="T31" s="5"/>
      <c r="U31" s="5"/>
      <c r="V31" s="5"/>
      <c r="W31" s="5"/>
      <c r="X31" s="5"/>
      <c r="Y31" s="5"/>
      <c r="Z31" s="5"/>
      <c r="AA31" s="5"/>
      <c r="AB31" s="5"/>
    </row>
    <row r="32" spans="1:28" ht="20.25">
      <c r="A32" s="18"/>
      <c r="B32" s="19"/>
      <c r="C32" s="20"/>
      <c r="D32" s="10"/>
      <c r="E32" s="10"/>
      <c r="F32" s="21"/>
      <c r="G32" s="17"/>
      <c r="H32" s="11"/>
      <c r="I32" s="17"/>
      <c r="J32" s="5"/>
      <c r="K32" s="5"/>
      <c r="L32" s="5"/>
      <c r="M32" s="5"/>
      <c r="N32" s="5"/>
      <c r="O32" s="5"/>
      <c r="P32" s="5"/>
      <c r="Q32" s="5"/>
      <c r="R32" s="5"/>
      <c r="S32" s="5"/>
      <c r="T32" s="5"/>
      <c r="U32" s="5"/>
      <c r="V32" s="5"/>
      <c r="W32" s="5"/>
      <c r="X32" s="5"/>
      <c r="Y32" s="5"/>
      <c r="Z32" s="5"/>
      <c r="AA32" s="5"/>
      <c r="AB32" s="5"/>
    </row>
    <row r="33" spans="1:28" ht="20.25">
      <c r="A33" s="22" t="s">
        <v>33</v>
      </c>
      <c r="B33" s="19"/>
      <c r="C33" s="20"/>
      <c r="D33" s="10"/>
      <c r="E33" s="10"/>
      <c r="F33" s="21"/>
      <c r="G33" s="17"/>
      <c r="H33" s="11"/>
      <c r="I33" s="17"/>
      <c r="J33" s="5"/>
      <c r="K33" s="5"/>
      <c r="L33" s="5"/>
      <c r="M33" s="5"/>
      <c r="N33" s="5"/>
      <c r="O33" s="5"/>
      <c r="P33" s="5"/>
      <c r="Q33" s="5"/>
      <c r="R33" s="5"/>
      <c r="S33" s="5"/>
      <c r="T33" s="5"/>
      <c r="U33" s="5"/>
      <c r="V33" s="5"/>
      <c r="W33" s="5"/>
      <c r="X33" s="5"/>
      <c r="Y33" s="5"/>
      <c r="Z33" s="5"/>
      <c r="AA33" s="5"/>
      <c r="AB33" s="5"/>
    </row>
    <row r="34" spans="1:28" ht="20.25">
      <c r="A34" s="13" t="s">
        <v>18</v>
      </c>
      <c r="B34" s="14">
        <v>7.7889749999999998</v>
      </c>
      <c r="C34" s="15">
        <v>8.1884237500000001</v>
      </c>
      <c r="D34" s="16">
        <v>8.5878449374999999</v>
      </c>
      <c r="E34" s="64">
        <v>8.59</v>
      </c>
      <c r="F34" s="16">
        <f t="shared" ref="F34:F35" si="15">SUM(D34,G34,H34)</f>
        <v>8.987237184375001</v>
      </c>
      <c r="G34" s="17">
        <f t="shared" ref="G34:G35" si="16">D34*0.05</f>
        <v>0.42939224687499999</v>
      </c>
      <c r="H34" s="17">
        <v>-0.03</v>
      </c>
      <c r="I34" s="17">
        <f t="shared" ref="I34:I35" si="17">F34-D34</f>
        <v>0.39939224687500108</v>
      </c>
      <c r="J34" s="5"/>
      <c r="K34" s="5"/>
      <c r="L34" s="5"/>
      <c r="M34" s="5"/>
      <c r="N34" s="5"/>
      <c r="O34" s="5"/>
      <c r="P34" s="5"/>
      <c r="Q34" s="5"/>
      <c r="R34" s="5"/>
      <c r="S34" s="5"/>
      <c r="T34" s="5"/>
      <c r="U34" s="5"/>
      <c r="V34" s="5"/>
      <c r="W34" s="5"/>
      <c r="X34" s="5"/>
      <c r="Y34" s="5"/>
      <c r="Z34" s="5"/>
      <c r="AA34" s="5"/>
      <c r="AB34" s="5"/>
    </row>
    <row r="35" spans="1:28" ht="20.25">
      <c r="A35" s="13" t="s">
        <v>20</v>
      </c>
      <c r="B35" s="14">
        <v>4.5939750000000004</v>
      </c>
      <c r="C35" s="15">
        <v>4.8936737500000005</v>
      </c>
      <c r="D35" s="16">
        <v>5.0883574375000009</v>
      </c>
      <c r="E35" s="64">
        <v>5.09</v>
      </c>
      <c r="F35" s="16">
        <f t="shared" si="15"/>
        <v>5.292775309375001</v>
      </c>
      <c r="G35" s="17">
        <f t="shared" si="16"/>
        <v>0.25441787187500003</v>
      </c>
      <c r="H35" s="17">
        <v>-0.05</v>
      </c>
      <c r="I35" s="17">
        <f t="shared" si="17"/>
        <v>0.20441787187500005</v>
      </c>
      <c r="J35" s="5"/>
      <c r="K35" s="5"/>
      <c r="L35" s="5"/>
      <c r="M35" s="5"/>
      <c r="N35" s="5"/>
      <c r="O35" s="5"/>
      <c r="P35" s="5"/>
      <c r="Q35" s="5"/>
      <c r="R35" s="5"/>
      <c r="S35" s="5"/>
      <c r="T35" s="5"/>
      <c r="U35" s="5"/>
      <c r="V35" s="5"/>
      <c r="W35" s="5"/>
      <c r="X35" s="5"/>
      <c r="Y35" s="5"/>
      <c r="Z35" s="5"/>
      <c r="AA35" s="5"/>
      <c r="AB35" s="5"/>
    </row>
    <row r="36" spans="1:28" ht="20.25">
      <c r="A36" s="24"/>
      <c r="B36" s="19"/>
      <c r="C36" s="20"/>
      <c r="D36" s="10"/>
      <c r="E36" s="10"/>
      <c r="F36" s="21"/>
      <c r="G36" s="17"/>
      <c r="H36" s="11"/>
      <c r="I36" s="17"/>
      <c r="J36" s="5"/>
      <c r="K36" s="5"/>
      <c r="L36" s="5"/>
      <c r="M36" s="5"/>
      <c r="N36" s="5"/>
      <c r="O36" s="5"/>
      <c r="P36" s="5"/>
      <c r="Q36" s="5"/>
      <c r="R36" s="5"/>
      <c r="S36" s="5"/>
      <c r="T36" s="5"/>
      <c r="U36" s="5"/>
      <c r="V36" s="5"/>
      <c r="W36" s="5"/>
      <c r="X36" s="5"/>
      <c r="Y36" s="5"/>
      <c r="Z36" s="5"/>
      <c r="AA36" s="5"/>
      <c r="AB36" s="5"/>
    </row>
    <row r="37" spans="1:28" ht="20.25">
      <c r="A37" s="22" t="s">
        <v>34</v>
      </c>
      <c r="B37" s="19"/>
      <c r="C37" s="20"/>
      <c r="D37" s="10"/>
      <c r="E37" s="10"/>
      <c r="F37" s="21"/>
      <c r="G37" s="17"/>
      <c r="H37" s="11"/>
      <c r="I37" s="17"/>
      <c r="J37" s="5"/>
      <c r="K37" s="5"/>
      <c r="L37" s="5"/>
      <c r="M37" s="5"/>
      <c r="N37" s="5"/>
      <c r="O37" s="5"/>
      <c r="P37" s="5"/>
      <c r="Q37" s="5"/>
      <c r="R37" s="5"/>
      <c r="S37" s="5"/>
      <c r="T37" s="5"/>
      <c r="U37" s="5"/>
      <c r="V37" s="5"/>
      <c r="W37" s="5"/>
      <c r="X37" s="5"/>
      <c r="Y37" s="5"/>
      <c r="Z37" s="5"/>
      <c r="AA37" s="5"/>
      <c r="AB37" s="5"/>
    </row>
    <row r="38" spans="1:28" ht="20.25">
      <c r="A38" s="23" t="s">
        <v>18</v>
      </c>
      <c r="B38" s="14">
        <v>8.8889750000000003</v>
      </c>
      <c r="C38" s="15">
        <v>9.393423750000002</v>
      </c>
      <c r="D38" s="16">
        <v>9.8930949375000008</v>
      </c>
      <c r="E38" s="64">
        <v>9.89</v>
      </c>
      <c r="F38" s="16">
        <f>SUM(D38,G38,H38)</f>
        <v>10.417749684375</v>
      </c>
      <c r="G38" s="17">
        <f>D38*0.05</f>
        <v>0.49465474687500005</v>
      </c>
      <c r="H38" s="17">
        <v>0.03</v>
      </c>
      <c r="I38" s="17">
        <f>F38-D38</f>
        <v>0.52465474687499913</v>
      </c>
      <c r="J38" s="5"/>
      <c r="K38" s="5"/>
      <c r="L38" s="5"/>
      <c r="M38" s="5"/>
      <c r="N38" s="5"/>
      <c r="O38" s="5"/>
      <c r="P38" s="5"/>
      <c r="Q38" s="5"/>
      <c r="R38" s="5"/>
      <c r="S38" s="5"/>
      <c r="T38" s="5"/>
      <c r="U38" s="5"/>
      <c r="V38" s="5"/>
      <c r="W38" s="5"/>
      <c r="X38" s="5"/>
      <c r="Y38" s="5"/>
      <c r="Z38" s="5"/>
      <c r="AA38" s="5"/>
      <c r="AB38" s="5"/>
    </row>
    <row r="39" spans="1:28" ht="20.25">
      <c r="A39" s="24"/>
      <c r="B39" s="19"/>
      <c r="C39" s="20"/>
      <c r="D39" s="10"/>
      <c r="E39" s="10"/>
      <c r="F39" s="21"/>
      <c r="G39" s="17"/>
      <c r="H39" s="11"/>
      <c r="I39" s="17"/>
      <c r="J39" s="5"/>
      <c r="K39" s="5"/>
      <c r="L39" s="5"/>
      <c r="M39" s="5"/>
      <c r="N39" s="5"/>
      <c r="O39" s="5"/>
      <c r="P39" s="5"/>
      <c r="Q39" s="5"/>
      <c r="R39" s="5"/>
      <c r="S39" s="5"/>
      <c r="T39" s="5"/>
      <c r="U39" s="5"/>
      <c r="V39" s="5"/>
      <c r="W39" s="5"/>
      <c r="X39" s="5"/>
      <c r="Y39" s="5"/>
      <c r="Z39" s="5"/>
      <c r="AA39" s="5"/>
      <c r="AB39" s="5"/>
    </row>
    <row r="40" spans="1:28" ht="20.25">
      <c r="A40" s="22" t="s">
        <v>35</v>
      </c>
      <c r="B40" s="19"/>
      <c r="C40" s="20"/>
      <c r="D40" s="10"/>
      <c r="E40" s="10"/>
      <c r="F40" s="21"/>
      <c r="G40" s="17"/>
      <c r="H40" s="11"/>
      <c r="I40" s="17"/>
      <c r="J40" s="5"/>
      <c r="K40" s="5"/>
      <c r="L40" s="5"/>
      <c r="M40" s="5"/>
      <c r="N40" s="5"/>
      <c r="O40" s="5"/>
      <c r="P40" s="5"/>
      <c r="Q40" s="5"/>
      <c r="R40" s="5"/>
      <c r="S40" s="5"/>
      <c r="T40" s="5"/>
      <c r="U40" s="5"/>
      <c r="V40" s="5"/>
      <c r="W40" s="5"/>
      <c r="X40" s="5"/>
      <c r="Y40" s="5"/>
      <c r="Z40" s="5"/>
      <c r="AA40" s="5"/>
      <c r="AB40" s="5"/>
    </row>
    <row r="41" spans="1:28" ht="20.25">
      <c r="A41" s="23" t="s">
        <v>36</v>
      </c>
      <c r="B41" s="14">
        <v>7.7889749999999998</v>
      </c>
      <c r="C41" s="15">
        <v>8.1884237500000001</v>
      </c>
      <c r="D41" s="16">
        <v>8.5878449374999999</v>
      </c>
      <c r="E41" s="64">
        <v>8.59</v>
      </c>
      <c r="F41" s="16">
        <f t="shared" ref="F41:F53" si="18">SUM(D41,G41,H41)</f>
        <v>8.987237184375001</v>
      </c>
      <c r="G41" s="17">
        <f t="shared" ref="G41:G53" si="19">D41*0.05</f>
        <v>0.42939224687499999</v>
      </c>
      <c r="H41" s="17">
        <v>-0.03</v>
      </c>
      <c r="I41" s="17">
        <f t="shared" ref="I41:I53" si="20">F41-D41</f>
        <v>0.39939224687500108</v>
      </c>
      <c r="J41" s="5"/>
      <c r="K41" s="5"/>
      <c r="L41" s="5"/>
      <c r="M41" s="5"/>
      <c r="N41" s="5"/>
      <c r="O41" s="5"/>
      <c r="P41" s="5"/>
      <c r="Q41" s="5"/>
      <c r="R41" s="5"/>
      <c r="S41" s="5"/>
      <c r="T41" s="5"/>
      <c r="U41" s="5"/>
      <c r="V41" s="5"/>
      <c r="W41" s="5"/>
      <c r="X41" s="5"/>
      <c r="Y41" s="5"/>
      <c r="Z41" s="5"/>
      <c r="AA41" s="5"/>
      <c r="AB41" s="5"/>
    </row>
    <row r="42" spans="1:28" ht="20.25">
      <c r="A42" s="23" t="s">
        <v>37</v>
      </c>
      <c r="B42" s="14">
        <v>7.7889749999999998</v>
      </c>
      <c r="C42" s="15">
        <v>8.1884237500000001</v>
      </c>
      <c r="D42" s="16">
        <v>8.5878449374999999</v>
      </c>
      <c r="E42" s="64">
        <v>8.59</v>
      </c>
      <c r="F42" s="16">
        <f t="shared" si="18"/>
        <v>8.987237184375001</v>
      </c>
      <c r="G42" s="17">
        <f t="shared" si="19"/>
        <v>0.42939224687499999</v>
      </c>
      <c r="H42" s="17">
        <v>-0.03</v>
      </c>
      <c r="I42" s="17">
        <f t="shared" si="20"/>
        <v>0.39939224687500108</v>
      </c>
      <c r="J42" s="5"/>
      <c r="K42" s="5"/>
      <c r="L42" s="5"/>
      <c r="M42" s="5"/>
      <c r="N42" s="5"/>
      <c r="O42" s="5"/>
      <c r="P42" s="5"/>
      <c r="Q42" s="5"/>
      <c r="R42" s="5"/>
      <c r="S42" s="5"/>
      <c r="T42" s="5"/>
      <c r="U42" s="5"/>
      <c r="V42" s="5"/>
      <c r="W42" s="5"/>
      <c r="X42" s="5"/>
      <c r="Y42" s="5"/>
      <c r="Z42" s="5"/>
      <c r="AA42" s="5"/>
      <c r="AB42" s="5"/>
    </row>
    <row r="43" spans="1:28" ht="20.25">
      <c r="A43" s="23" t="s">
        <v>38</v>
      </c>
      <c r="B43" s="14">
        <v>7.7889749999999998</v>
      </c>
      <c r="C43" s="15">
        <v>8.1884237500000001</v>
      </c>
      <c r="D43" s="16">
        <v>8.5878449374999999</v>
      </c>
      <c r="E43" s="64">
        <v>8.59</v>
      </c>
      <c r="F43" s="16">
        <f t="shared" si="18"/>
        <v>8.987237184375001</v>
      </c>
      <c r="G43" s="17">
        <f t="shared" si="19"/>
        <v>0.42939224687499999</v>
      </c>
      <c r="H43" s="17">
        <v>-0.03</v>
      </c>
      <c r="I43" s="17">
        <f t="shared" si="20"/>
        <v>0.39939224687500108</v>
      </c>
      <c r="J43" s="5"/>
      <c r="K43" s="5"/>
      <c r="L43" s="5"/>
      <c r="M43" s="5"/>
      <c r="N43" s="5"/>
      <c r="O43" s="5"/>
      <c r="P43" s="5"/>
      <c r="Q43" s="5"/>
      <c r="R43" s="5"/>
      <c r="S43" s="5"/>
      <c r="T43" s="5"/>
      <c r="U43" s="5"/>
      <c r="V43" s="5"/>
      <c r="W43" s="5"/>
      <c r="X43" s="5"/>
      <c r="Y43" s="5"/>
      <c r="Z43" s="5"/>
      <c r="AA43" s="5"/>
      <c r="AB43" s="5"/>
    </row>
    <row r="44" spans="1:28" ht="20.25">
      <c r="A44" s="23" t="s">
        <v>39</v>
      </c>
      <c r="B44" s="14">
        <v>7.7889749999999998</v>
      </c>
      <c r="C44" s="15">
        <v>8.1884237500000001</v>
      </c>
      <c r="D44" s="16">
        <v>8.5878449374999999</v>
      </c>
      <c r="E44" s="64">
        <v>8.59</v>
      </c>
      <c r="F44" s="16">
        <f t="shared" si="18"/>
        <v>8.987237184375001</v>
      </c>
      <c r="G44" s="17">
        <f t="shared" si="19"/>
        <v>0.42939224687499999</v>
      </c>
      <c r="H44" s="17">
        <v>-0.03</v>
      </c>
      <c r="I44" s="17">
        <f t="shared" si="20"/>
        <v>0.39939224687500108</v>
      </c>
      <c r="J44" s="5"/>
      <c r="K44" s="5"/>
      <c r="L44" s="5"/>
      <c r="M44" s="5"/>
      <c r="N44" s="5"/>
      <c r="O44" s="5"/>
      <c r="P44" s="5"/>
      <c r="Q44" s="5"/>
      <c r="R44" s="5"/>
      <c r="S44" s="5"/>
      <c r="T44" s="5"/>
      <c r="U44" s="5"/>
      <c r="V44" s="5"/>
      <c r="W44" s="5"/>
      <c r="X44" s="5"/>
      <c r="Y44" s="5"/>
      <c r="Z44" s="5"/>
      <c r="AA44" s="5"/>
      <c r="AB44" s="5"/>
    </row>
    <row r="45" spans="1:28" ht="20.25">
      <c r="A45" s="23" t="s">
        <v>40</v>
      </c>
      <c r="B45" s="14">
        <v>7.7889749999999998</v>
      </c>
      <c r="C45" s="15">
        <v>8.1884237500000001</v>
      </c>
      <c r="D45" s="16">
        <v>8.5878449374999999</v>
      </c>
      <c r="E45" s="64">
        <v>8.59</v>
      </c>
      <c r="F45" s="16">
        <f t="shared" si="18"/>
        <v>8.987237184375001</v>
      </c>
      <c r="G45" s="17">
        <f t="shared" si="19"/>
        <v>0.42939224687499999</v>
      </c>
      <c r="H45" s="17">
        <v>-0.03</v>
      </c>
      <c r="I45" s="17">
        <f t="shared" si="20"/>
        <v>0.39939224687500108</v>
      </c>
      <c r="J45" s="5"/>
      <c r="K45" s="5"/>
      <c r="L45" s="5"/>
      <c r="M45" s="5"/>
      <c r="N45" s="5"/>
      <c r="O45" s="5"/>
      <c r="P45" s="5"/>
      <c r="Q45" s="5"/>
      <c r="R45" s="5"/>
      <c r="S45" s="5"/>
      <c r="T45" s="5"/>
      <c r="U45" s="5"/>
      <c r="V45" s="5"/>
      <c r="W45" s="5"/>
      <c r="X45" s="5"/>
      <c r="Y45" s="5"/>
      <c r="Z45" s="5"/>
      <c r="AA45" s="5"/>
      <c r="AB45" s="5"/>
    </row>
    <row r="46" spans="1:28" ht="20.25">
      <c r="A46" s="23" t="s">
        <v>41</v>
      </c>
      <c r="B46" s="14">
        <v>8.2892250000000001</v>
      </c>
      <c r="C46" s="15">
        <v>8.6936862500000007</v>
      </c>
      <c r="D46" s="16">
        <v>9.0883705625000015</v>
      </c>
      <c r="E46" s="64">
        <v>9.09</v>
      </c>
      <c r="F46" s="16">
        <f t="shared" si="18"/>
        <v>9.492789090625001</v>
      </c>
      <c r="G46" s="17">
        <f t="shared" si="19"/>
        <v>0.45441852812500011</v>
      </c>
      <c r="H46" s="17">
        <v>-0.05</v>
      </c>
      <c r="I46" s="17">
        <f t="shared" si="20"/>
        <v>0.40441852812499945</v>
      </c>
      <c r="J46" s="5"/>
      <c r="K46" s="5"/>
      <c r="L46" s="5"/>
      <c r="M46" s="5"/>
      <c r="N46" s="5"/>
      <c r="O46" s="5"/>
      <c r="P46" s="5"/>
      <c r="Q46" s="5"/>
      <c r="R46" s="5"/>
      <c r="S46" s="5"/>
      <c r="T46" s="5"/>
      <c r="U46" s="5"/>
      <c r="V46" s="5"/>
      <c r="W46" s="5"/>
      <c r="X46" s="5"/>
      <c r="Y46" s="5"/>
      <c r="Z46" s="5"/>
      <c r="AA46" s="5"/>
      <c r="AB46" s="5"/>
    </row>
    <row r="47" spans="1:28" ht="20.25">
      <c r="A47" s="23" t="s">
        <v>42</v>
      </c>
      <c r="B47" s="14">
        <v>8.2892250000000001</v>
      </c>
      <c r="C47" s="15">
        <v>8.6936862500000007</v>
      </c>
      <c r="D47" s="16">
        <v>9.0883705625000015</v>
      </c>
      <c r="E47" s="64">
        <v>9.09</v>
      </c>
      <c r="F47" s="16">
        <f t="shared" si="18"/>
        <v>9.492789090625001</v>
      </c>
      <c r="G47" s="17">
        <f t="shared" si="19"/>
        <v>0.45441852812500011</v>
      </c>
      <c r="H47" s="17">
        <v>-0.05</v>
      </c>
      <c r="I47" s="17">
        <f t="shared" si="20"/>
        <v>0.40441852812499945</v>
      </c>
      <c r="J47" s="5"/>
      <c r="K47" s="5"/>
      <c r="L47" s="5"/>
      <c r="M47" s="5"/>
      <c r="N47" s="5"/>
      <c r="O47" s="5"/>
      <c r="P47" s="5"/>
      <c r="Q47" s="5"/>
      <c r="R47" s="5"/>
      <c r="S47" s="5"/>
      <c r="T47" s="5"/>
      <c r="U47" s="5"/>
      <c r="V47" s="5"/>
      <c r="W47" s="5"/>
      <c r="X47" s="5"/>
      <c r="Y47" s="5"/>
      <c r="Z47" s="5"/>
      <c r="AA47" s="5"/>
      <c r="AB47" s="5"/>
    </row>
    <row r="48" spans="1:28" ht="20.25">
      <c r="A48" s="23" t="s">
        <v>43</v>
      </c>
      <c r="B48" s="14">
        <v>8.8889750000000003</v>
      </c>
      <c r="C48" s="15">
        <v>9.393423750000002</v>
      </c>
      <c r="D48" s="16">
        <v>9.8930949375000008</v>
      </c>
      <c r="E48" s="64">
        <v>9.09</v>
      </c>
      <c r="F48" s="16">
        <f t="shared" si="18"/>
        <v>10.417749684375</v>
      </c>
      <c r="G48" s="17">
        <f t="shared" si="19"/>
        <v>0.49465474687500005</v>
      </c>
      <c r="H48" s="17">
        <v>0.03</v>
      </c>
      <c r="I48" s="17">
        <f t="shared" si="20"/>
        <v>0.52465474687499913</v>
      </c>
      <c r="J48" s="5"/>
      <c r="K48" s="5"/>
      <c r="L48" s="5"/>
      <c r="M48" s="5"/>
      <c r="N48" s="5"/>
      <c r="O48" s="5"/>
      <c r="P48" s="5"/>
      <c r="Q48" s="5"/>
      <c r="R48" s="5"/>
      <c r="S48" s="5"/>
      <c r="T48" s="5"/>
      <c r="U48" s="5"/>
      <c r="V48" s="5"/>
      <c r="W48" s="5"/>
      <c r="X48" s="5"/>
      <c r="Y48" s="5"/>
      <c r="Z48" s="5"/>
      <c r="AA48" s="5"/>
      <c r="AB48" s="5"/>
    </row>
    <row r="49" spans="1:28" ht="20.25">
      <c r="A49" s="23" t="s">
        <v>44</v>
      </c>
      <c r="B49" s="14">
        <v>8.8889750000000003</v>
      </c>
      <c r="C49" s="15">
        <v>9.393423750000002</v>
      </c>
      <c r="D49" s="16">
        <v>9.8930949375000008</v>
      </c>
      <c r="E49" s="64">
        <v>9.89</v>
      </c>
      <c r="F49" s="16">
        <f t="shared" si="18"/>
        <v>10.417749684375</v>
      </c>
      <c r="G49" s="17">
        <f t="shared" si="19"/>
        <v>0.49465474687500005</v>
      </c>
      <c r="H49" s="17">
        <v>0.03</v>
      </c>
      <c r="I49" s="17">
        <f t="shared" si="20"/>
        <v>0.52465474687499913</v>
      </c>
      <c r="J49" s="5"/>
      <c r="K49" s="5"/>
      <c r="L49" s="5"/>
      <c r="M49" s="5"/>
      <c r="N49" s="5"/>
      <c r="O49" s="5"/>
      <c r="P49" s="5"/>
      <c r="Q49" s="5"/>
      <c r="R49" s="5"/>
      <c r="S49" s="5"/>
      <c r="T49" s="5"/>
      <c r="U49" s="5"/>
      <c r="V49" s="5"/>
      <c r="W49" s="5"/>
      <c r="X49" s="5"/>
      <c r="Y49" s="5"/>
      <c r="Z49" s="5"/>
      <c r="AA49" s="5"/>
      <c r="AB49" s="5"/>
    </row>
    <row r="50" spans="1:28" ht="20.25">
      <c r="A50" s="23" t="s">
        <v>45</v>
      </c>
      <c r="B50" s="14">
        <v>8.8889750000000003</v>
      </c>
      <c r="C50" s="15">
        <v>9.393423750000002</v>
      </c>
      <c r="D50" s="16">
        <v>9.8930949375000008</v>
      </c>
      <c r="E50" s="64">
        <v>9.89</v>
      </c>
      <c r="F50" s="16">
        <f t="shared" si="18"/>
        <v>10.417749684375</v>
      </c>
      <c r="G50" s="17">
        <f t="shared" si="19"/>
        <v>0.49465474687500005</v>
      </c>
      <c r="H50" s="17">
        <v>0.03</v>
      </c>
      <c r="I50" s="17">
        <f t="shared" si="20"/>
        <v>0.52465474687499913</v>
      </c>
      <c r="J50" s="5"/>
      <c r="K50" s="5"/>
      <c r="L50" s="5"/>
      <c r="M50" s="5"/>
      <c r="N50" s="5"/>
      <c r="O50" s="5"/>
      <c r="P50" s="5"/>
      <c r="Q50" s="5"/>
      <c r="R50" s="5"/>
      <c r="S50" s="5"/>
      <c r="T50" s="5"/>
      <c r="U50" s="5"/>
      <c r="V50" s="5"/>
      <c r="W50" s="5"/>
      <c r="X50" s="5"/>
      <c r="Y50" s="5"/>
      <c r="Z50" s="5"/>
      <c r="AA50" s="5"/>
      <c r="AB50" s="5"/>
    </row>
    <row r="51" spans="1:28" ht="20.25">
      <c r="A51" s="23" t="s">
        <v>46</v>
      </c>
      <c r="B51" s="14">
        <v>8.8889750000000003</v>
      </c>
      <c r="C51" s="15">
        <v>9.393423750000002</v>
      </c>
      <c r="D51" s="16">
        <v>9.8930949375000008</v>
      </c>
      <c r="E51" s="64">
        <v>9.89</v>
      </c>
      <c r="F51" s="16">
        <f t="shared" si="18"/>
        <v>10.417749684375</v>
      </c>
      <c r="G51" s="17">
        <f t="shared" si="19"/>
        <v>0.49465474687500005</v>
      </c>
      <c r="H51" s="17">
        <v>0.03</v>
      </c>
      <c r="I51" s="17">
        <f t="shared" si="20"/>
        <v>0.52465474687499913</v>
      </c>
      <c r="J51" s="5"/>
      <c r="K51" s="5"/>
      <c r="L51" s="5"/>
      <c r="M51" s="5"/>
      <c r="N51" s="5"/>
      <c r="O51" s="5"/>
      <c r="P51" s="5"/>
      <c r="Q51" s="5"/>
      <c r="R51" s="5"/>
      <c r="S51" s="5"/>
      <c r="T51" s="5"/>
      <c r="U51" s="5"/>
      <c r="V51" s="5"/>
      <c r="W51" s="5"/>
      <c r="X51" s="5"/>
      <c r="Y51" s="5"/>
      <c r="Z51" s="5"/>
      <c r="AA51" s="5"/>
      <c r="AB51" s="5"/>
    </row>
    <row r="52" spans="1:28" ht="20.25">
      <c r="A52" s="23" t="s">
        <v>47</v>
      </c>
      <c r="B52" s="14">
        <v>8.8889750000000003</v>
      </c>
      <c r="C52" s="15">
        <v>9.393423750000002</v>
      </c>
      <c r="D52" s="16">
        <v>9.8930949375000008</v>
      </c>
      <c r="E52" s="64">
        <v>9.89</v>
      </c>
      <c r="F52" s="16">
        <f t="shared" si="18"/>
        <v>10.417749684375</v>
      </c>
      <c r="G52" s="17">
        <f t="shared" si="19"/>
        <v>0.49465474687500005</v>
      </c>
      <c r="H52" s="17">
        <v>0.03</v>
      </c>
      <c r="I52" s="17">
        <f t="shared" si="20"/>
        <v>0.52465474687499913</v>
      </c>
      <c r="J52" s="5"/>
      <c r="K52" s="5"/>
      <c r="L52" s="5"/>
      <c r="M52" s="5"/>
      <c r="N52" s="5"/>
      <c r="O52" s="5"/>
      <c r="P52" s="5"/>
      <c r="Q52" s="5"/>
      <c r="R52" s="5"/>
      <c r="S52" s="5"/>
      <c r="T52" s="5"/>
      <c r="U52" s="5"/>
      <c r="V52" s="5"/>
      <c r="W52" s="5"/>
      <c r="X52" s="5"/>
      <c r="Y52" s="5"/>
      <c r="Z52" s="5"/>
      <c r="AA52" s="5"/>
      <c r="AB52" s="5"/>
    </row>
    <row r="53" spans="1:28" ht="20.25">
      <c r="A53" s="23" t="s">
        <v>48</v>
      </c>
      <c r="B53" s="14">
        <v>8.8889750000000003</v>
      </c>
      <c r="C53" s="15">
        <v>9.393423750000002</v>
      </c>
      <c r="D53" s="16">
        <v>9.8930949375000008</v>
      </c>
      <c r="E53" s="64">
        <v>9.89</v>
      </c>
      <c r="F53" s="16">
        <f t="shared" si="18"/>
        <v>10.417749684375</v>
      </c>
      <c r="G53" s="17">
        <f t="shared" si="19"/>
        <v>0.49465474687500005</v>
      </c>
      <c r="H53" s="17">
        <v>0.03</v>
      </c>
      <c r="I53" s="17">
        <f t="shared" si="20"/>
        <v>0.52465474687499913</v>
      </c>
      <c r="J53" s="5"/>
      <c r="K53" s="5"/>
      <c r="L53" s="5"/>
      <c r="M53" s="5"/>
      <c r="N53" s="5"/>
      <c r="O53" s="5"/>
      <c r="P53" s="5"/>
      <c r="Q53" s="5"/>
      <c r="R53" s="5"/>
      <c r="S53" s="5"/>
      <c r="T53" s="5"/>
      <c r="U53" s="5"/>
      <c r="V53" s="5"/>
      <c r="W53" s="5"/>
      <c r="X53" s="5"/>
      <c r="Y53" s="5"/>
      <c r="Z53" s="5"/>
      <c r="AA53" s="5"/>
      <c r="AB53" s="5"/>
    </row>
    <row r="54" spans="1:28" ht="20.25">
      <c r="A54" s="24"/>
      <c r="B54" s="19"/>
      <c r="C54" s="20"/>
      <c r="D54" s="10"/>
      <c r="E54" s="10"/>
      <c r="F54" s="21"/>
      <c r="G54" s="17"/>
      <c r="H54" s="11"/>
      <c r="I54" s="17"/>
      <c r="J54" s="5"/>
      <c r="K54" s="5"/>
      <c r="L54" s="5"/>
      <c r="M54" s="5"/>
      <c r="N54" s="5"/>
      <c r="O54" s="5"/>
      <c r="P54" s="5"/>
      <c r="Q54" s="5"/>
      <c r="R54" s="5"/>
      <c r="S54" s="5"/>
      <c r="T54" s="5"/>
      <c r="U54" s="5"/>
      <c r="V54" s="5"/>
      <c r="W54" s="5"/>
      <c r="X54" s="5"/>
      <c r="Y54" s="5"/>
      <c r="Z54" s="5"/>
      <c r="AA54" s="5"/>
      <c r="AB54" s="5"/>
    </row>
    <row r="55" spans="1:28" ht="20.25">
      <c r="A55" s="22" t="s">
        <v>49</v>
      </c>
      <c r="B55" s="19"/>
      <c r="C55" s="20"/>
      <c r="D55" s="10"/>
      <c r="E55" s="10"/>
      <c r="F55" s="21"/>
      <c r="G55" s="17"/>
      <c r="H55" s="11"/>
      <c r="I55" s="17"/>
      <c r="J55" s="5"/>
      <c r="K55" s="5"/>
      <c r="L55" s="5"/>
      <c r="M55" s="5"/>
      <c r="N55" s="5"/>
      <c r="O55" s="5"/>
      <c r="P55" s="5"/>
      <c r="Q55" s="5"/>
      <c r="R55" s="5"/>
      <c r="S55" s="5"/>
      <c r="T55" s="5"/>
      <c r="U55" s="5"/>
      <c r="V55" s="5"/>
      <c r="W55" s="5"/>
      <c r="X55" s="5"/>
      <c r="Y55" s="5"/>
      <c r="Z55" s="5"/>
      <c r="AA55" s="5"/>
      <c r="AB55" s="5"/>
    </row>
    <row r="56" spans="1:28" ht="40.5">
      <c r="A56" s="23" t="s">
        <v>50</v>
      </c>
      <c r="B56" s="14">
        <v>8.2892250000000001</v>
      </c>
      <c r="C56" s="15">
        <v>8.6936862500000007</v>
      </c>
      <c r="D56" s="16">
        <v>9.0883705625000015</v>
      </c>
      <c r="E56" s="64">
        <v>9.09</v>
      </c>
      <c r="F56" s="16">
        <f t="shared" ref="F56:F57" si="21">SUM(D56,G56,H56)</f>
        <v>9.492789090625001</v>
      </c>
      <c r="G56" s="17">
        <f t="shared" ref="G56:G57" si="22">D56*0.05</f>
        <v>0.45441852812500011</v>
      </c>
      <c r="H56" s="17">
        <v>-0.05</v>
      </c>
      <c r="I56" s="17">
        <f t="shared" ref="I56:I57" si="23">F56-D56</f>
        <v>0.40441852812499945</v>
      </c>
      <c r="J56" s="5"/>
      <c r="K56" s="5"/>
      <c r="L56" s="5"/>
      <c r="M56" s="5"/>
      <c r="N56" s="5"/>
      <c r="O56" s="5"/>
      <c r="P56" s="5"/>
      <c r="Q56" s="5"/>
      <c r="R56" s="5"/>
      <c r="S56" s="5"/>
      <c r="T56" s="5"/>
      <c r="U56" s="5"/>
      <c r="V56" s="5"/>
      <c r="W56" s="5"/>
      <c r="X56" s="5"/>
      <c r="Y56" s="5"/>
      <c r="Z56" s="5"/>
      <c r="AA56" s="5"/>
      <c r="AB56" s="5"/>
    </row>
    <row r="57" spans="1:28" ht="40.5">
      <c r="A57" s="49" t="s">
        <v>51</v>
      </c>
      <c r="B57" s="50">
        <v>9.99</v>
      </c>
      <c r="C57" s="51">
        <v>9.99</v>
      </c>
      <c r="D57" s="52">
        <v>10.4895</v>
      </c>
      <c r="E57" s="52"/>
      <c r="F57" s="52">
        <f t="shared" si="21"/>
        <v>10.993975000000001</v>
      </c>
      <c r="G57" s="53">
        <f t="shared" si="22"/>
        <v>0.52447500000000002</v>
      </c>
      <c r="H57" s="53">
        <v>-0.02</v>
      </c>
      <c r="I57" s="53">
        <f t="shared" si="23"/>
        <v>0.50447500000000112</v>
      </c>
      <c r="J57" s="5"/>
      <c r="K57" s="5"/>
      <c r="L57" s="5"/>
      <c r="M57" s="5"/>
      <c r="N57" s="5"/>
      <c r="O57" s="5"/>
      <c r="P57" s="5"/>
      <c r="Q57" s="5"/>
      <c r="R57" s="5"/>
      <c r="S57" s="5"/>
      <c r="T57" s="5"/>
      <c r="U57" s="5"/>
      <c r="V57" s="5"/>
      <c r="W57" s="5"/>
      <c r="X57" s="5"/>
      <c r="Y57" s="5"/>
      <c r="Z57" s="5"/>
      <c r="AA57" s="5"/>
      <c r="AB57" s="5"/>
    </row>
    <row r="58" spans="1:28" ht="20.25">
      <c r="A58" s="24"/>
      <c r="B58" s="19"/>
      <c r="C58" s="20"/>
      <c r="D58" s="10"/>
      <c r="E58" s="10"/>
      <c r="F58" s="21"/>
      <c r="G58" s="17"/>
      <c r="H58" s="11"/>
      <c r="I58" s="17"/>
      <c r="J58" s="5"/>
      <c r="K58" s="5"/>
      <c r="L58" s="5"/>
      <c r="M58" s="5"/>
      <c r="N58" s="5"/>
      <c r="O58" s="5"/>
      <c r="P58" s="5"/>
      <c r="Q58" s="5"/>
      <c r="R58" s="5"/>
      <c r="S58" s="5"/>
      <c r="T58" s="5"/>
      <c r="U58" s="5"/>
      <c r="V58" s="5"/>
      <c r="W58" s="5"/>
      <c r="X58" s="5"/>
      <c r="Y58" s="5"/>
      <c r="Z58" s="5"/>
      <c r="AA58" s="5"/>
      <c r="AB58" s="5"/>
    </row>
    <row r="59" spans="1:28" ht="20.25">
      <c r="A59" s="22" t="s">
        <v>52</v>
      </c>
      <c r="B59" s="19"/>
      <c r="C59" s="20"/>
      <c r="D59" s="10"/>
      <c r="E59" s="10"/>
      <c r="F59" s="21"/>
      <c r="G59" s="17"/>
      <c r="H59" s="11"/>
      <c r="I59" s="17"/>
      <c r="J59" s="5"/>
      <c r="K59" s="5"/>
      <c r="L59" s="5"/>
      <c r="M59" s="5"/>
      <c r="N59" s="5"/>
      <c r="O59" s="5"/>
      <c r="P59" s="5"/>
      <c r="Q59" s="5"/>
      <c r="R59" s="5"/>
      <c r="S59" s="5"/>
      <c r="T59" s="5"/>
      <c r="U59" s="5"/>
      <c r="V59" s="5"/>
      <c r="W59" s="5"/>
      <c r="X59" s="5"/>
      <c r="Y59" s="5"/>
      <c r="Z59" s="5"/>
      <c r="AA59" s="5"/>
      <c r="AB59" s="5"/>
    </row>
    <row r="60" spans="1:28" ht="20.25">
      <c r="A60" s="13" t="s">
        <v>18</v>
      </c>
      <c r="B60" s="14">
        <v>9.9939750000000007</v>
      </c>
      <c r="C60" s="15">
        <v>10.493673750000001</v>
      </c>
      <c r="D60" s="16">
        <v>10.988357437500001</v>
      </c>
      <c r="E60" s="64">
        <v>10.99</v>
      </c>
      <c r="F60" s="16">
        <f t="shared" ref="F60:F61" si="24">SUM(D60,G60,H60)</f>
        <v>11.487775309375001</v>
      </c>
      <c r="G60" s="17">
        <f t="shared" ref="G60:G61" si="25">D60*0.05</f>
        <v>0.54941787187500013</v>
      </c>
      <c r="H60" s="17">
        <v>-0.05</v>
      </c>
      <c r="I60" s="17">
        <f t="shared" ref="I60:I61" si="26">F60-D60</f>
        <v>0.49941787187499997</v>
      </c>
      <c r="J60" s="5"/>
      <c r="K60" s="5"/>
      <c r="L60" s="5"/>
      <c r="M60" s="5"/>
      <c r="N60" s="5"/>
      <c r="O60" s="5"/>
      <c r="P60" s="5"/>
      <c r="Q60" s="5"/>
      <c r="R60" s="5"/>
      <c r="S60" s="5"/>
      <c r="T60" s="5"/>
      <c r="U60" s="5"/>
      <c r="V60" s="5"/>
      <c r="W60" s="5"/>
      <c r="X60" s="5"/>
      <c r="Y60" s="5"/>
      <c r="Z60" s="5"/>
      <c r="AA60" s="5"/>
      <c r="AB60" s="5"/>
    </row>
    <row r="61" spans="1:28" ht="20.25">
      <c r="A61" s="23" t="s">
        <v>26</v>
      </c>
      <c r="B61" s="14">
        <v>9.9939750000000007</v>
      </c>
      <c r="C61" s="15">
        <v>10.493673750000001</v>
      </c>
      <c r="D61" s="16">
        <v>10.988357437500001</v>
      </c>
      <c r="E61" s="64">
        <v>8.89</v>
      </c>
      <c r="F61" s="16">
        <f t="shared" si="24"/>
        <v>11.487775309375001</v>
      </c>
      <c r="G61" s="17">
        <f t="shared" si="25"/>
        <v>0.54941787187500013</v>
      </c>
      <c r="H61" s="17">
        <v>-0.05</v>
      </c>
      <c r="I61" s="17">
        <f t="shared" si="26"/>
        <v>0.49941787187499997</v>
      </c>
      <c r="J61" s="5"/>
      <c r="K61" s="5"/>
      <c r="L61" s="5"/>
      <c r="M61" s="5"/>
      <c r="N61" s="5"/>
      <c r="O61" s="5"/>
      <c r="P61" s="5"/>
      <c r="Q61" s="5"/>
      <c r="R61" s="5"/>
      <c r="S61" s="5"/>
      <c r="T61" s="5"/>
      <c r="U61" s="5"/>
      <c r="V61" s="5"/>
      <c r="W61" s="5"/>
      <c r="X61" s="5"/>
      <c r="Y61" s="5"/>
      <c r="Z61" s="5"/>
      <c r="AA61" s="5"/>
      <c r="AB61" s="5"/>
    </row>
    <row r="62" spans="1:28" ht="20.25">
      <c r="A62" s="24"/>
      <c r="B62" s="19"/>
      <c r="C62" s="20"/>
      <c r="D62" s="10"/>
      <c r="E62" s="10"/>
      <c r="F62" s="21"/>
      <c r="G62" s="17"/>
      <c r="H62" s="11"/>
      <c r="I62" s="17"/>
      <c r="J62" s="5"/>
      <c r="K62" s="5"/>
      <c r="L62" s="5"/>
      <c r="M62" s="5"/>
      <c r="N62" s="5"/>
      <c r="O62" s="5"/>
      <c r="P62" s="5"/>
      <c r="Q62" s="5"/>
      <c r="R62" s="5"/>
      <c r="S62" s="5"/>
      <c r="T62" s="5"/>
      <c r="U62" s="5"/>
      <c r="V62" s="5"/>
      <c r="W62" s="5"/>
      <c r="X62" s="5"/>
      <c r="Y62" s="5"/>
      <c r="Z62" s="5"/>
      <c r="AA62" s="5"/>
      <c r="AB62" s="5"/>
    </row>
    <row r="63" spans="1:28" ht="20.25">
      <c r="A63" s="22" t="s">
        <v>53</v>
      </c>
      <c r="B63" s="19"/>
      <c r="C63" s="20"/>
      <c r="D63" s="10"/>
      <c r="E63" s="10"/>
      <c r="F63" s="21"/>
      <c r="G63" s="17"/>
      <c r="H63" s="11"/>
      <c r="I63" s="17"/>
      <c r="J63" s="5"/>
      <c r="K63" s="5"/>
      <c r="L63" s="5"/>
      <c r="M63" s="5"/>
      <c r="N63" s="5"/>
      <c r="O63" s="5"/>
      <c r="P63" s="5"/>
      <c r="Q63" s="5"/>
      <c r="R63" s="5"/>
      <c r="S63" s="5"/>
      <c r="T63" s="5"/>
      <c r="U63" s="5"/>
      <c r="V63" s="5"/>
      <c r="W63" s="5"/>
      <c r="X63" s="5"/>
      <c r="Y63" s="5"/>
      <c r="Z63" s="5"/>
      <c r="AA63" s="5"/>
      <c r="AB63" s="5"/>
    </row>
    <row r="64" spans="1:28" ht="20.25">
      <c r="A64" s="23" t="s">
        <v>18</v>
      </c>
      <c r="B64" s="14">
        <v>10.993975000000001</v>
      </c>
      <c r="C64" s="15">
        <v>11.493673750000001</v>
      </c>
      <c r="D64" s="16">
        <v>12.088357437500001</v>
      </c>
      <c r="E64" s="64">
        <v>12.09</v>
      </c>
      <c r="F64" s="16">
        <f>SUM(D64,G64,H64)</f>
        <v>12.692775309375001</v>
      </c>
      <c r="G64" s="17">
        <f>D64*0.05</f>
        <v>0.60441787187500007</v>
      </c>
      <c r="H64" s="17">
        <v>0</v>
      </c>
      <c r="I64" s="17">
        <f>F64-D64</f>
        <v>0.6044178718750004</v>
      </c>
      <c r="J64" s="5"/>
      <c r="K64" s="5"/>
      <c r="L64" s="5"/>
      <c r="M64" s="5"/>
      <c r="N64" s="5"/>
      <c r="O64" s="5"/>
      <c r="P64" s="5"/>
      <c r="Q64" s="5"/>
      <c r="R64" s="5"/>
      <c r="S64" s="5"/>
      <c r="T64" s="5"/>
      <c r="U64" s="5"/>
      <c r="V64" s="5"/>
      <c r="W64" s="5"/>
      <c r="X64" s="5"/>
      <c r="Y64" s="5"/>
      <c r="Z64" s="5"/>
      <c r="AA64" s="5"/>
      <c r="AB64" s="5"/>
    </row>
    <row r="65" spans="1:28" ht="20.25">
      <c r="A65" s="24"/>
      <c r="B65" s="19"/>
      <c r="C65" s="20"/>
      <c r="D65" s="10"/>
      <c r="E65" s="10"/>
      <c r="F65" s="21"/>
      <c r="G65" s="17"/>
      <c r="H65" s="11"/>
      <c r="I65" s="17"/>
      <c r="J65" s="5"/>
      <c r="K65" s="5"/>
      <c r="L65" s="5"/>
      <c r="M65" s="5"/>
      <c r="N65" s="5"/>
      <c r="O65" s="5"/>
      <c r="P65" s="5"/>
      <c r="Q65" s="5"/>
      <c r="R65" s="5"/>
      <c r="S65" s="5"/>
      <c r="T65" s="5"/>
      <c r="U65" s="5"/>
      <c r="V65" s="5"/>
      <c r="W65" s="5"/>
      <c r="X65" s="5"/>
      <c r="Y65" s="5"/>
      <c r="Z65" s="5"/>
      <c r="AA65" s="5"/>
      <c r="AB65" s="5"/>
    </row>
    <row r="66" spans="1:28" ht="20.25">
      <c r="A66" s="22" t="s">
        <v>54</v>
      </c>
      <c r="B66" s="19"/>
      <c r="C66" s="20"/>
      <c r="D66" s="10"/>
      <c r="E66" s="10"/>
      <c r="F66" s="21"/>
      <c r="G66" s="17"/>
      <c r="H66" s="11"/>
      <c r="I66" s="17"/>
      <c r="J66" s="5"/>
      <c r="K66" s="5"/>
      <c r="L66" s="5"/>
      <c r="M66" s="5"/>
      <c r="N66" s="5"/>
      <c r="O66" s="5"/>
      <c r="P66" s="5"/>
      <c r="Q66" s="5"/>
      <c r="R66" s="5"/>
      <c r="S66" s="5"/>
      <c r="T66" s="5"/>
      <c r="U66" s="5"/>
      <c r="V66" s="5"/>
      <c r="W66" s="5"/>
      <c r="X66" s="5"/>
      <c r="Y66" s="5"/>
      <c r="Z66" s="5"/>
      <c r="AA66" s="5"/>
      <c r="AB66" s="5"/>
    </row>
    <row r="67" spans="1:28" ht="20.25">
      <c r="A67" s="13" t="s">
        <v>18</v>
      </c>
      <c r="B67" s="14">
        <v>8.8889750000000003</v>
      </c>
      <c r="C67" s="15">
        <v>9.393423750000002</v>
      </c>
      <c r="D67" s="16">
        <v>9.8930949375000008</v>
      </c>
      <c r="E67" s="64">
        <v>9.89</v>
      </c>
      <c r="F67" s="16">
        <f t="shared" ref="F67:F68" si="27">SUM(D67,G67,H67)</f>
        <v>10.417749684375</v>
      </c>
      <c r="G67" s="17">
        <f t="shared" ref="G67:G68" si="28">D67*0.05</f>
        <v>0.49465474687500005</v>
      </c>
      <c r="H67" s="17">
        <v>0.03</v>
      </c>
      <c r="I67" s="17">
        <f t="shared" ref="I67:I68" si="29">F67-D67</f>
        <v>0.52465474687499913</v>
      </c>
      <c r="J67" s="5"/>
      <c r="K67" s="5"/>
      <c r="L67" s="5"/>
      <c r="M67" s="5"/>
      <c r="N67" s="5"/>
      <c r="O67" s="5"/>
      <c r="P67" s="5"/>
      <c r="Q67" s="5"/>
      <c r="R67" s="5"/>
      <c r="S67" s="5"/>
      <c r="T67" s="5"/>
      <c r="U67" s="5"/>
      <c r="V67" s="5"/>
      <c r="W67" s="5"/>
      <c r="X67" s="5"/>
      <c r="Y67" s="5"/>
      <c r="Z67" s="5"/>
      <c r="AA67" s="5"/>
      <c r="AB67" s="5"/>
    </row>
    <row r="68" spans="1:28" ht="20.25">
      <c r="A68" s="23" t="s">
        <v>20</v>
      </c>
      <c r="B68" s="14">
        <v>5.5939750000000004</v>
      </c>
      <c r="C68" s="15">
        <v>5.8936737500000005</v>
      </c>
      <c r="D68" s="16">
        <v>6.1883574375000006</v>
      </c>
      <c r="E68" s="64">
        <v>6.59</v>
      </c>
      <c r="F68" s="16">
        <f t="shared" si="27"/>
        <v>6.4877753093750012</v>
      </c>
      <c r="G68" s="17">
        <f t="shared" si="28"/>
        <v>0.30941787187500003</v>
      </c>
      <c r="H68" s="17">
        <v>-0.01</v>
      </c>
      <c r="I68" s="17">
        <f t="shared" si="29"/>
        <v>0.29941787187500069</v>
      </c>
      <c r="J68" s="5"/>
      <c r="K68" s="5"/>
      <c r="L68" s="5"/>
      <c r="M68" s="5"/>
      <c r="N68" s="5"/>
      <c r="O68" s="5"/>
      <c r="P68" s="5"/>
      <c r="Q68" s="5"/>
      <c r="R68" s="5"/>
      <c r="S68" s="5"/>
      <c r="T68" s="5"/>
      <c r="U68" s="5"/>
      <c r="V68" s="5"/>
      <c r="W68" s="5"/>
      <c r="X68" s="5"/>
      <c r="Y68" s="5"/>
      <c r="Z68" s="5"/>
      <c r="AA68" s="5"/>
      <c r="AB68" s="5"/>
    </row>
    <row r="69" spans="1:28" ht="20.25">
      <c r="A69" s="24"/>
      <c r="B69" s="19"/>
      <c r="C69" s="20"/>
      <c r="D69" s="10"/>
      <c r="E69" s="10"/>
      <c r="F69" s="21"/>
      <c r="G69" s="17"/>
      <c r="H69" s="11"/>
      <c r="I69" s="17"/>
      <c r="J69" s="5"/>
      <c r="K69" s="5"/>
      <c r="L69" s="5"/>
      <c r="M69" s="5"/>
      <c r="N69" s="5"/>
      <c r="O69" s="5"/>
      <c r="P69" s="5"/>
      <c r="Q69" s="5"/>
      <c r="R69" s="5"/>
      <c r="S69" s="5"/>
      <c r="T69" s="5"/>
      <c r="U69" s="5"/>
      <c r="V69" s="5"/>
      <c r="W69" s="5"/>
      <c r="X69" s="5"/>
      <c r="Y69" s="5"/>
      <c r="Z69" s="5"/>
      <c r="AA69" s="5"/>
      <c r="AB69" s="5"/>
    </row>
    <row r="70" spans="1:28" ht="20.25">
      <c r="A70" s="22" t="s">
        <v>55</v>
      </c>
      <c r="B70" s="19"/>
      <c r="C70" s="20"/>
      <c r="D70" s="10"/>
      <c r="E70" s="10"/>
      <c r="F70" s="21"/>
      <c r="G70" s="17"/>
      <c r="H70" s="11"/>
      <c r="I70" s="17"/>
      <c r="J70" s="5"/>
      <c r="K70" s="5"/>
      <c r="L70" s="5"/>
      <c r="M70" s="5"/>
      <c r="N70" s="5"/>
      <c r="O70" s="5"/>
      <c r="P70" s="5"/>
      <c r="Q70" s="5"/>
      <c r="R70" s="5"/>
      <c r="S70" s="5"/>
      <c r="T70" s="5"/>
      <c r="U70" s="5"/>
      <c r="V70" s="5"/>
      <c r="W70" s="5"/>
      <c r="X70" s="5"/>
      <c r="Y70" s="5"/>
      <c r="Z70" s="5"/>
      <c r="AA70" s="5"/>
      <c r="AB70" s="5"/>
    </row>
    <row r="71" spans="1:28" ht="20.25">
      <c r="A71" s="23" t="s">
        <v>18</v>
      </c>
      <c r="B71" s="14">
        <v>8.2892250000000001</v>
      </c>
      <c r="C71" s="15">
        <v>8.6936862500000007</v>
      </c>
      <c r="D71" s="16">
        <v>9.0883705625000015</v>
      </c>
      <c r="E71" s="64">
        <v>9.09</v>
      </c>
      <c r="F71" s="16">
        <f t="shared" ref="F71:F72" si="30">SUM(D71,G71,H71)</f>
        <v>9.492789090625001</v>
      </c>
      <c r="G71" s="17">
        <f t="shared" ref="G71:G72" si="31">D71*0.05</f>
        <v>0.45441852812500011</v>
      </c>
      <c r="H71" s="17">
        <v>-0.05</v>
      </c>
      <c r="I71" s="17">
        <f t="shared" ref="I71:I72" si="32">F71-D71</f>
        <v>0.40441852812499945</v>
      </c>
      <c r="J71" s="5"/>
      <c r="K71" s="5"/>
      <c r="L71" s="5"/>
      <c r="M71" s="5"/>
      <c r="N71" s="5"/>
      <c r="O71" s="5"/>
      <c r="P71" s="5"/>
      <c r="Q71" s="5"/>
      <c r="R71" s="5"/>
      <c r="S71" s="5"/>
      <c r="T71" s="5"/>
      <c r="U71" s="5"/>
      <c r="V71" s="5"/>
      <c r="W71" s="5"/>
      <c r="X71" s="5"/>
      <c r="Y71" s="5"/>
      <c r="Z71" s="5"/>
      <c r="AA71" s="5"/>
      <c r="AB71" s="5"/>
    </row>
    <row r="72" spans="1:28" ht="20.25">
      <c r="A72" s="23" t="s">
        <v>20</v>
      </c>
      <c r="B72" s="14">
        <v>6.5939750000000004</v>
      </c>
      <c r="C72" s="15">
        <v>6.8936737500000005</v>
      </c>
      <c r="D72" s="16">
        <v>7.1883574375000006</v>
      </c>
      <c r="E72" s="64">
        <v>7.19</v>
      </c>
      <c r="F72" s="16">
        <f t="shared" si="30"/>
        <v>7.4877753093750012</v>
      </c>
      <c r="G72" s="17">
        <f t="shared" si="31"/>
        <v>0.35941787187500007</v>
      </c>
      <c r="H72" s="17">
        <v>-0.06</v>
      </c>
      <c r="I72" s="17">
        <f t="shared" si="32"/>
        <v>0.29941787187500069</v>
      </c>
      <c r="J72" s="5"/>
      <c r="K72" s="5"/>
      <c r="L72" s="5"/>
      <c r="M72" s="5"/>
      <c r="N72" s="5"/>
      <c r="O72" s="5"/>
      <c r="P72" s="5"/>
      <c r="Q72" s="5"/>
      <c r="R72" s="5"/>
      <c r="S72" s="5"/>
      <c r="T72" s="5"/>
      <c r="U72" s="5"/>
      <c r="V72" s="5"/>
      <c r="W72" s="5"/>
      <c r="X72" s="5"/>
      <c r="Y72" s="5"/>
      <c r="Z72" s="5"/>
      <c r="AA72" s="5"/>
      <c r="AB72" s="5"/>
    </row>
    <row r="73" spans="1:28" ht="20.25">
      <c r="A73" s="24"/>
      <c r="B73" s="19"/>
      <c r="C73" s="20"/>
      <c r="D73" s="10"/>
      <c r="E73" s="10"/>
      <c r="F73" s="21"/>
      <c r="G73" s="17"/>
      <c r="H73" s="11"/>
      <c r="I73" s="17"/>
      <c r="J73" s="5"/>
      <c r="K73" s="5"/>
      <c r="L73" s="5"/>
      <c r="M73" s="5"/>
      <c r="N73" s="5"/>
      <c r="O73" s="5"/>
      <c r="P73" s="5"/>
      <c r="Q73" s="5"/>
      <c r="R73" s="5"/>
      <c r="S73" s="5"/>
      <c r="T73" s="5"/>
      <c r="U73" s="5"/>
      <c r="V73" s="5"/>
      <c r="W73" s="5"/>
      <c r="X73" s="5"/>
      <c r="Y73" s="5"/>
      <c r="Z73" s="5"/>
      <c r="AA73" s="5"/>
      <c r="AB73" s="5"/>
    </row>
    <row r="74" spans="1:28" ht="20.25">
      <c r="A74" s="22" t="s">
        <v>56</v>
      </c>
      <c r="B74" s="19"/>
      <c r="C74" s="20"/>
      <c r="D74" s="10"/>
      <c r="E74" s="10"/>
      <c r="F74" s="21"/>
      <c r="G74" s="17"/>
      <c r="H74" s="11"/>
      <c r="I74" s="17"/>
      <c r="J74" s="5"/>
      <c r="K74" s="5"/>
      <c r="L74" s="5"/>
      <c r="M74" s="5"/>
      <c r="N74" s="5"/>
      <c r="O74" s="5"/>
      <c r="P74" s="5"/>
      <c r="Q74" s="5"/>
      <c r="R74" s="5"/>
      <c r="S74" s="5"/>
      <c r="T74" s="5"/>
      <c r="U74" s="5"/>
      <c r="V74" s="5"/>
      <c r="W74" s="5"/>
      <c r="X74" s="5"/>
      <c r="Y74" s="5"/>
      <c r="Z74" s="5"/>
      <c r="AA74" s="5"/>
      <c r="AB74" s="5"/>
    </row>
    <row r="75" spans="1:28" ht="20.25">
      <c r="A75" s="23" t="s">
        <v>57</v>
      </c>
      <c r="B75" s="14">
        <v>2.0942249999999998</v>
      </c>
      <c r="C75" s="15">
        <v>2.1889362500000002</v>
      </c>
      <c r="D75" s="16">
        <v>2.2883830625000003</v>
      </c>
      <c r="E75" s="64">
        <v>2.29</v>
      </c>
      <c r="F75" s="16">
        <f t="shared" ref="F75:F88" si="33">SUM(D75,G75,H75)</f>
        <v>2.3928022156250006</v>
      </c>
      <c r="G75" s="17">
        <f t="shared" ref="G75:G88" si="34">D75*0.05</f>
        <v>0.11441915312500002</v>
      </c>
      <c r="H75" s="17">
        <v>-0.01</v>
      </c>
      <c r="I75" s="17">
        <f t="shared" ref="I75:I88" si="35">F75-D75</f>
        <v>0.10441915312500027</v>
      </c>
      <c r="J75" s="5"/>
      <c r="K75" s="5"/>
      <c r="L75" s="5"/>
      <c r="M75" s="5"/>
      <c r="N75" s="5"/>
      <c r="O75" s="5"/>
      <c r="P75" s="5"/>
      <c r="Q75" s="5"/>
      <c r="R75" s="5"/>
      <c r="S75" s="5"/>
      <c r="T75" s="5"/>
      <c r="U75" s="5"/>
      <c r="V75" s="5"/>
      <c r="W75" s="5"/>
      <c r="X75" s="5"/>
      <c r="Y75" s="5"/>
      <c r="Z75" s="5"/>
      <c r="AA75" s="5"/>
      <c r="AB75" s="5"/>
    </row>
    <row r="76" spans="1:28" ht="20.25">
      <c r="A76" s="23" t="s">
        <v>58</v>
      </c>
      <c r="B76" s="14">
        <v>1.193975</v>
      </c>
      <c r="C76" s="15">
        <v>1.2936737500000002</v>
      </c>
      <c r="D76" s="16">
        <v>1.3883574375000003</v>
      </c>
      <c r="E76" s="64">
        <v>2.29</v>
      </c>
      <c r="F76" s="16">
        <f t="shared" si="33"/>
        <v>1.4877753093750004</v>
      </c>
      <c r="G76" s="17">
        <f t="shared" si="34"/>
        <v>6.9417871875000023E-2</v>
      </c>
      <c r="H76" s="17">
        <v>0.03</v>
      </c>
      <c r="I76" s="17">
        <f t="shared" si="35"/>
        <v>9.9417871875000063E-2</v>
      </c>
      <c r="J76" s="5"/>
      <c r="K76" s="5"/>
      <c r="L76" s="5"/>
      <c r="M76" s="5"/>
      <c r="N76" s="5"/>
      <c r="O76" s="5"/>
      <c r="P76" s="5"/>
      <c r="Q76" s="5"/>
      <c r="R76" s="5"/>
      <c r="S76" s="5"/>
      <c r="T76" s="5"/>
      <c r="U76" s="5"/>
      <c r="V76" s="5"/>
      <c r="W76" s="5"/>
      <c r="X76" s="5"/>
      <c r="Y76" s="5"/>
      <c r="Z76" s="5"/>
      <c r="AA76" s="5"/>
      <c r="AB76" s="5"/>
    </row>
    <row r="77" spans="1:28" ht="20.25">
      <c r="A77" s="23" t="s">
        <v>59</v>
      </c>
      <c r="B77" s="14">
        <v>2.0942249999999998</v>
      </c>
      <c r="C77" s="15">
        <v>2.1889362500000002</v>
      </c>
      <c r="D77" s="16">
        <v>2.2883830625000003</v>
      </c>
      <c r="E77" s="64">
        <v>2.29</v>
      </c>
      <c r="F77" s="16">
        <f t="shared" si="33"/>
        <v>2.3928022156250006</v>
      </c>
      <c r="G77" s="17">
        <f t="shared" si="34"/>
        <v>0.11441915312500002</v>
      </c>
      <c r="H77" s="17">
        <v>-0.01</v>
      </c>
      <c r="I77" s="17">
        <f t="shared" si="35"/>
        <v>0.10441915312500027</v>
      </c>
      <c r="J77" s="5"/>
      <c r="K77" s="5"/>
      <c r="L77" s="5"/>
      <c r="M77" s="5"/>
      <c r="N77" s="5"/>
      <c r="O77" s="5"/>
      <c r="P77" s="5"/>
      <c r="Q77" s="5"/>
      <c r="R77" s="5"/>
      <c r="S77" s="5"/>
      <c r="T77" s="5"/>
      <c r="U77" s="5"/>
      <c r="V77" s="5"/>
      <c r="W77" s="5"/>
      <c r="X77" s="5"/>
      <c r="Y77" s="5"/>
      <c r="Z77" s="5"/>
      <c r="AA77" s="5"/>
      <c r="AB77" s="5"/>
    </row>
    <row r="78" spans="1:28" ht="20.25">
      <c r="A78" s="23" t="s">
        <v>60</v>
      </c>
      <c r="B78" s="14">
        <v>2.0942249999999998</v>
      </c>
      <c r="C78" s="15">
        <v>2.1889362500000002</v>
      </c>
      <c r="D78" s="16">
        <v>2.2883830625000003</v>
      </c>
      <c r="E78" s="64">
        <v>2.29</v>
      </c>
      <c r="F78" s="16">
        <f t="shared" si="33"/>
        <v>2.3928022156250006</v>
      </c>
      <c r="G78" s="17">
        <f t="shared" si="34"/>
        <v>0.11441915312500002</v>
      </c>
      <c r="H78" s="17">
        <v>-0.01</v>
      </c>
      <c r="I78" s="17">
        <f t="shared" si="35"/>
        <v>0.10441915312500027</v>
      </c>
      <c r="J78" s="5"/>
      <c r="K78" s="5"/>
      <c r="L78" s="5"/>
      <c r="M78" s="5"/>
      <c r="N78" s="5"/>
      <c r="O78" s="5"/>
      <c r="P78" s="5"/>
      <c r="Q78" s="5"/>
      <c r="R78" s="5"/>
      <c r="S78" s="5"/>
      <c r="T78" s="5"/>
      <c r="U78" s="5"/>
      <c r="V78" s="5"/>
      <c r="W78" s="5"/>
      <c r="X78" s="5"/>
      <c r="Y78" s="5"/>
      <c r="Z78" s="5"/>
      <c r="AA78" s="5"/>
      <c r="AB78" s="5"/>
    </row>
    <row r="79" spans="1:28" ht="20.25">
      <c r="A79" s="23" t="s">
        <v>61</v>
      </c>
      <c r="B79" s="14">
        <v>1.193975</v>
      </c>
      <c r="C79" s="15">
        <v>1.2936737500000002</v>
      </c>
      <c r="D79" s="16">
        <v>1.3883574375000003</v>
      </c>
      <c r="E79" s="64">
        <v>2.29</v>
      </c>
      <c r="F79" s="16">
        <f t="shared" si="33"/>
        <v>1.4877753093750004</v>
      </c>
      <c r="G79" s="17">
        <f t="shared" si="34"/>
        <v>6.9417871875000023E-2</v>
      </c>
      <c r="H79" s="17">
        <v>0.03</v>
      </c>
      <c r="I79" s="17">
        <f t="shared" si="35"/>
        <v>9.9417871875000063E-2</v>
      </c>
      <c r="J79" s="5"/>
      <c r="K79" s="5"/>
      <c r="L79" s="5"/>
      <c r="M79" s="5"/>
      <c r="N79" s="5"/>
      <c r="O79" s="5"/>
      <c r="P79" s="5"/>
      <c r="Q79" s="5"/>
      <c r="R79" s="5"/>
      <c r="S79" s="5"/>
      <c r="T79" s="5"/>
      <c r="U79" s="5"/>
      <c r="V79" s="5"/>
      <c r="W79" s="5"/>
      <c r="X79" s="5"/>
      <c r="Y79" s="5"/>
      <c r="Z79" s="5"/>
      <c r="AA79" s="5"/>
      <c r="AB79" s="5"/>
    </row>
    <row r="80" spans="1:28" ht="20.25">
      <c r="A80" s="23" t="s">
        <v>62</v>
      </c>
      <c r="B80" s="14">
        <v>1.193975</v>
      </c>
      <c r="C80" s="15">
        <v>1.2936737500000002</v>
      </c>
      <c r="D80" s="16">
        <v>1.3883574375000003</v>
      </c>
      <c r="E80" s="64">
        <v>2.19</v>
      </c>
      <c r="F80" s="16">
        <f t="shared" si="33"/>
        <v>1.4877753093750004</v>
      </c>
      <c r="G80" s="17">
        <f t="shared" si="34"/>
        <v>6.9417871875000023E-2</v>
      </c>
      <c r="H80" s="17">
        <v>0.03</v>
      </c>
      <c r="I80" s="17">
        <f t="shared" si="35"/>
        <v>9.9417871875000063E-2</v>
      </c>
      <c r="J80" s="5"/>
      <c r="K80" s="5"/>
      <c r="L80" s="5"/>
      <c r="M80" s="5"/>
      <c r="N80" s="5"/>
      <c r="O80" s="5"/>
      <c r="P80" s="5"/>
      <c r="Q80" s="5"/>
      <c r="R80" s="5"/>
      <c r="S80" s="5"/>
      <c r="T80" s="5"/>
      <c r="U80" s="5"/>
      <c r="V80" s="5"/>
      <c r="W80" s="5"/>
      <c r="X80" s="5"/>
      <c r="Y80" s="5"/>
      <c r="Z80" s="5"/>
      <c r="AA80" s="5"/>
      <c r="AB80" s="5"/>
    </row>
    <row r="81" spans="1:28" ht="20.25">
      <c r="A81" s="23" t="s">
        <v>63</v>
      </c>
      <c r="B81" s="14">
        <v>1.193975</v>
      </c>
      <c r="C81" s="15">
        <v>1.2936737500000002</v>
      </c>
      <c r="D81" s="16">
        <v>1.3883574375000003</v>
      </c>
      <c r="E81" s="64">
        <v>2.19</v>
      </c>
      <c r="F81" s="16">
        <f t="shared" si="33"/>
        <v>1.4877753093750004</v>
      </c>
      <c r="G81" s="17">
        <f t="shared" si="34"/>
        <v>6.9417871875000023E-2</v>
      </c>
      <c r="H81" s="17">
        <v>0.03</v>
      </c>
      <c r="I81" s="17">
        <f t="shared" si="35"/>
        <v>9.9417871875000063E-2</v>
      </c>
      <c r="J81" s="5"/>
      <c r="K81" s="5"/>
      <c r="L81" s="5"/>
      <c r="M81" s="5"/>
      <c r="N81" s="5"/>
      <c r="O81" s="5"/>
      <c r="P81" s="5"/>
      <c r="Q81" s="5"/>
      <c r="R81" s="5"/>
      <c r="S81" s="5"/>
      <c r="T81" s="5"/>
      <c r="U81" s="5"/>
      <c r="V81" s="5"/>
      <c r="W81" s="5"/>
      <c r="X81" s="5"/>
      <c r="Y81" s="5"/>
      <c r="Z81" s="5"/>
      <c r="AA81" s="5"/>
      <c r="AB81" s="5"/>
    </row>
    <row r="82" spans="1:28" ht="20.25">
      <c r="A82" s="23" t="s">
        <v>64</v>
      </c>
      <c r="B82" s="14">
        <v>1.193975</v>
      </c>
      <c r="C82" s="15">
        <v>1.2936737500000002</v>
      </c>
      <c r="D82" s="16">
        <v>1.3883574375000003</v>
      </c>
      <c r="E82" s="64">
        <v>2.19</v>
      </c>
      <c r="F82" s="16">
        <f t="shared" si="33"/>
        <v>1.4877753093750004</v>
      </c>
      <c r="G82" s="17">
        <f t="shared" si="34"/>
        <v>6.9417871875000023E-2</v>
      </c>
      <c r="H82" s="17">
        <v>0.03</v>
      </c>
      <c r="I82" s="17">
        <f t="shared" si="35"/>
        <v>9.9417871875000063E-2</v>
      </c>
      <c r="J82" s="5"/>
      <c r="K82" s="5"/>
      <c r="L82" s="5"/>
      <c r="M82" s="5"/>
      <c r="N82" s="5"/>
      <c r="O82" s="5"/>
      <c r="P82" s="5"/>
      <c r="Q82" s="5"/>
      <c r="R82" s="5"/>
      <c r="S82" s="5"/>
      <c r="T82" s="5"/>
      <c r="U82" s="5"/>
      <c r="V82" s="5"/>
      <c r="W82" s="5"/>
      <c r="X82" s="5"/>
      <c r="Y82" s="5"/>
      <c r="Z82" s="5"/>
      <c r="AA82" s="5"/>
      <c r="AB82" s="5"/>
    </row>
    <row r="83" spans="1:28" ht="20.25">
      <c r="A83" s="23" t="s">
        <v>65</v>
      </c>
      <c r="B83" s="14">
        <v>2.8892250000000002</v>
      </c>
      <c r="C83" s="15">
        <v>3.0936862500000002</v>
      </c>
      <c r="D83" s="16">
        <v>3.2883705625000004</v>
      </c>
      <c r="E83" s="64">
        <v>3.19</v>
      </c>
      <c r="F83" s="16">
        <f t="shared" si="33"/>
        <v>3.4927890906250005</v>
      </c>
      <c r="G83" s="17">
        <f t="shared" si="34"/>
        <v>0.16441852812500002</v>
      </c>
      <c r="H83" s="17">
        <v>0.04</v>
      </c>
      <c r="I83" s="17">
        <f t="shared" si="35"/>
        <v>0.20441852812500017</v>
      </c>
      <c r="J83" s="5"/>
      <c r="K83" s="5"/>
      <c r="L83" s="5"/>
      <c r="M83" s="5"/>
      <c r="N83" s="5"/>
      <c r="O83" s="5"/>
      <c r="P83" s="5"/>
      <c r="Q83" s="5"/>
      <c r="R83" s="5"/>
      <c r="S83" s="5"/>
      <c r="T83" s="5"/>
      <c r="U83" s="5"/>
      <c r="V83" s="5"/>
      <c r="W83" s="5"/>
      <c r="X83" s="5"/>
      <c r="Y83" s="5"/>
      <c r="Z83" s="5"/>
      <c r="AA83" s="5"/>
      <c r="AB83" s="5"/>
    </row>
    <row r="84" spans="1:28" ht="20.25">
      <c r="A84" s="23" t="s">
        <v>66</v>
      </c>
      <c r="B84" s="14">
        <v>2.193975</v>
      </c>
      <c r="C84" s="15">
        <v>2.2936737500000004</v>
      </c>
      <c r="D84" s="16">
        <v>2.3883574375000003</v>
      </c>
      <c r="E84" s="64">
        <v>2.39</v>
      </c>
      <c r="F84" s="16">
        <f t="shared" si="33"/>
        <v>2.4877753093750004</v>
      </c>
      <c r="G84" s="17">
        <f t="shared" si="34"/>
        <v>0.11941787187500003</v>
      </c>
      <c r="H84" s="17">
        <v>-0.02</v>
      </c>
      <c r="I84" s="17">
        <f t="shared" si="35"/>
        <v>9.9417871875000063E-2</v>
      </c>
      <c r="J84" s="5"/>
      <c r="K84" s="5"/>
      <c r="L84" s="5"/>
      <c r="M84" s="5"/>
      <c r="N84" s="5"/>
      <c r="O84" s="5"/>
      <c r="P84" s="5"/>
      <c r="Q84" s="5"/>
      <c r="R84" s="5"/>
      <c r="S84" s="5"/>
      <c r="T84" s="5"/>
      <c r="U84" s="5"/>
      <c r="V84" s="5"/>
      <c r="W84" s="5"/>
      <c r="X84" s="5"/>
      <c r="Y84" s="5"/>
      <c r="Z84" s="5"/>
      <c r="AA84" s="5"/>
      <c r="AB84" s="5"/>
    </row>
    <row r="85" spans="1:28" ht="20.25">
      <c r="A85" s="23" t="s">
        <v>67</v>
      </c>
      <c r="B85" s="14">
        <v>3.588975</v>
      </c>
      <c r="C85" s="15">
        <v>3.7884237500000002</v>
      </c>
      <c r="D85" s="16">
        <v>3.9878449375000002</v>
      </c>
      <c r="E85" s="64">
        <v>5.19</v>
      </c>
      <c r="F85" s="16">
        <f t="shared" si="33"/>
        <v>4.1872371843750003</v>
      </c>
      <c r="G85" s="17">
        <f t="shared" si="34"/>
        <v>0.19939224687500001</v>
      </c>
      <c r="H85" s="17">
        <v>0</v>
      </c>
      <c r="I85" s="17">
        <f t="shared" si="35"/>
        <v>0.19939224687500001</v>
      </c>
      <c r="J85" s="5"/>
      <c r="K85" s="5"/>
      <c r="L85" s="5"/>
      <c r="M85" s="5"/>
      <c r="N85" s="5"/>
      <c r="O85" s="5"/>
      <c r="P85" s="5"/>
      <c r="Q85" s="5"/>
      <c r="R85" s="5"/>
      <c r="S85" s="5"/>
      <c r="T85" s="5"/>
      <c r="U85" s="5"/>
      <c r="V85" s="5"/>
      <c r="W85" s="5"/>
      <c r="X85" s="5"/>
      <c r="Y85" s="5"/>
      <c r="Z85" s="5"/>
      <c r="AA85" s="5"/>
      <c r="AB85" s="5"/>
    </row>
    <row r="86" spans="1:28" ht="20.25">
      <c r="A86" s="23" t="s">
        <v>68</v>
      </c>
      <c r="B86" s="14">
        <v>1.193975</v>
      </c>
      <c r="C86" s="15">
        <v>1.2936737500000002</v>
      </c>
      <c r="D86" s="16">
        <v>1.3883574375000003</v>
      </c>
      <c r="E86" s="64">
        <v>1.49</v>
      </c>
      <c r="F86" s="16">
        <f t="shared" si="33"/>
        <v>1.4877753093750004</v>
      </c>
      <c r="G86" s="17">
        <f t="shared" si="34"/>
        <v>6.9417871875000023E-2</v>
      </c>
      <c r="H86" s="17">
        <v>0.03</v>
      </c>
      <c r="I86" s="17">
        <f t="shared" si="35"/>
        <v>9.9417871875000063E-2</v>
      </c>
      <c r="J86" s="5"/>
      <c r="K86" s="5"/>
      <c r="L86" s="5"/>
      <c r="M86" s="5"/>
      <c r="N86" s="5"/>
      <c r="O86" s="5"/>
      <c r="P86" s="5"/>
      <c r="Q86" s="5"/>
      <c r="R86" s="5"/>
      <c r="S86" s="5"/>
      <c r="T86" s="5"/>
      <c r="U86" s="5"/>
      <c r="V86" s="5"/>
      <c r="W86" s="5"/>
      <c r="X86" s="5"/>
      <c r="Y86" s="5"/>
      <c r="Z86" s="5"/>
      <c r="AA86" s="5"/>
      <c r="AB86" s="5"/>
    </row>
    <row r="87" spans="1:28" ht="20.25">
      <c r="A87" s="23" t="s">
        <v>69</v>
      </c>
      <c r="B87" s="14">
        <v>1.193975</v>
      </c>
      <c r="C87" s="15">
        <v>1.2936737500000002</v>
      </c>
      <c r="D87" s="16">
        <v>1.3883574375000003</v>
      </c>
      <c r="E87" s="64">
        <v>1.49</v>
      </c>
      <c r="F87" s="16">
        <f t="shared" si="33"/>
        <v>1.4877753093750004</v>
      </c>
      <c r="G87" s="17">
        <f t="shared" si="34"/>
        <v>6.9417871875000023E-2</v>
      </c>
      <c r="H87" s="17">
        <v>0.03</v>
      </c>
      <c r="I87" s="17">
        <f t="shared" si="35"/>
        <v>9.9417871875000063E-2</v>
      </c>
      <c r="J87" s="5"/>
      <c r="K87" s="5"/>
      <c r="L87" s="5"/>
      <c r="M87" s="5"/>
      <c r="N87" s="5"/>
      <c r="O87" s="5"/>
      <c r="P87" s="5"/>
      <c r="Q87" s="5"/>
      <c r="R87" s="5"/>
      <c r="S87" s="5"/>
      <c r="T87" s="5"/>
      <c r="U87" s="5"/>
      <c r="V87" s="5"/>
      <c r="W87" s="5"/>
      <c r="X87" s="5"/>
      <c r="Y87" s="5"/>
      <c r="Z87" s="5"/>
      <c r="AA87" s="5"/>
      <c r="AB87" s="5"/>
    </row>
    <row r="88" spans="1:28" ht="20.25">
      <c r="A88" s="23" t="s">
        <v>70</v>
      </c>
      <c r="B88" s="14">
        <v>2.193975</v>
      </c>
      <c r="C88" s="15">
        <v>2.2936737500000004</v>
      </c>
      <c r="D88" s="16">
        <v>2.3883574375000003</v>
      </c>
      <c r="E88" s="64">
        <v>2.29</v>
      </c>
      <c r="F88" s="16">
        <f t="shared" si="33"/>
        <v>2.4877753093750004</v>
      </c>
      <c r="G88" s="17">
        <f t="shared" si="34"/>
        <v>0.11941787187500003</v>
      </c>
      <c r="H88" s="17">
        <v>-0.02</v>
      </c>
      <c r="I88" s="17">
        <f t="shared" si="35"/>
        <v>9.9417871875000063E-2</v>
      </c>
      <c r="J88" s="5"/>
      <c r="K88" s="5"/>
      <c r="L88" s="5"/>
      <c r="M88" s="5"/>
      <c r="N88" s="5"/>
      <c r="O88" s="5"/>
      <c r="P88" s="5"/>
      <c r="Q88" s="5"/>
      <c r="R88" s="5"/>
      <c r="S88" s="5"/>
      <c r="T88" s="5"/>
      <c r="U88" s="5"/>
      <c r="V88" s="5"/>
      <c r="W88" s="5"/>
      <c r="X88" s="5"/>
      <c r="Y88" s="5"/>
      <c r="Z88" s="5"/>
      <c r="AA88" s="5"/>
      <c r="AB88" s="5"/>
    </row>
    <row r="89" spans="1:28" s="58" customFormat="1" ht="20.25">
      <c r="A89" s="54" t="s">
        <v>130</v>
      </c>
      <c r="B89" s="55"/>
      <c r="C89" s="56"/>
      <c r="D89" s="47"/>
      <c r="E89" s="64">
        <v>2.29</v>
      </c>
      <c r="F89" s="47"/>
      <c r="G89" s="48"/>
      <c r="H89" s="48"/>
      <c r="I89" s="48"/>
      <c r="J89" s="57"/>
      <c r="K89" s="57"/>
      <c r="L89" s="57"/>
      <c r="M89" s="57"/>
      <c r="N89" s="57"/>
      <c r="O89" s="57"/>
      <c r="P89" s="57"/>
      <c r="Q89" s="57"/>
      <c r="R89" s="57"/>
      <c r="S89" s="57"/>
      <c r="T89" s="57"/>
      <c r="U89" s="57"/>
      <c r="V89" s="57"/>
      <c r="W89" s="57"/>
      <c r="X89" s="57"/>
      <c r="Y89" s="57"/>
      <c r="Z89" s="57"/>
      <c r="AA89" s="57"/>
      <c r="AB89" s="57"/>
    </row>
    <row r="90" spans="1:28" ht="20.25">
      <c r="A90" s="24"/>
      <c r="B90" s="19"/>
      <c r="C90" s="20"/>
      <c r="D90" s="10"/>
      <c r="E90" s="10"/>
      <c r="F90" s="21"/>
      <c r="G90" s="17"/>
      <c r="H90" s="11"/>
      <c r="I90" s="17"/>
      <c r="J90" s="5"/>
      <c r="K90" s="5"/>
      <c r="L90" s="5"/>
      <c r="M90" s="5"/>
      <c r="N90" s="5"/>
      <c r="O90" s="5"/>
      <c r="P90" s="5"/>
      <c r="Q90" s="5"/>
      <c r="R90" s="5"/>
      <c r="S90" s="5"/>
      <c r="T90" s="5"/>
      <c r="U90" s="5"/>
      <c r="V90" s="5"/>
      <c r="W90" s="5"/>
      <c r="X90" s="5"/>
      <c r="Y90" s="5"/>
      <c r="Z90" s="5"/>
      <c r="AA90" s="5"/>
      <c r="AB90" s="5"/>
    </row>
    <row r="91" spans="1:28" ht="20.25">
      <c r="A91" s="22" t="s">
        <v>71</v>
      </c>
      <c r="B91" s="19"/>
      <c r="C91" s="20"/>
      <c r="D91" s="10"/>
      <c r="E91" s="10"/>
      <c r="F91" s="21"/>
      <c r="G91" s="17"/>
      <c r="H91" s="11"/>
      <c r="I91" s="17"/>
      <c r="J91" s="5"/>
      <c r="K91" s="5"/>
      <c r="L91" s="5"/>
      <c r="M91" s="5"/>
      <c r="N91" s="5"/>
      <c r="O91" s="5"/>
      <c r="P91" s="5"/>
      <c r="Q91" s="5"/>
      <c r="R91" s="5"/>
      <c r="S91" s="5"/>
      <c r="T91" s="5"/>
      <c r="U91" s="5"/>
      <c r="V91" s="5"/>
      <c r="W91" s="5"/>
      <c r="X91" s="5"/>
      <c r="Y91" s="5"/>
      <c r="Z91" s="5"/>
      <c r="AA91" s="5"/>
      <c r="AB91" s="5"/>
    </row>
    <row r="92" spans="1:28" ht="20.25">
      <c r="A92" s="23" t="s">
        <v>72</v>
      </c>
      <c r="B92" s="14">
        <v>3.9892249999999998</v>
      </c>
      <c r="C92" s="15">
        <v>4.2886862499999996</v>
      </c>
      <c r="D92" s="16">
        <v>4.5431205624999995</v>
      </c>
      <c r="E92" s="64">
        <v>4.49</v>
      </c>
      <c r="F92" s="16">
        <f t="shared" ref="F92:F93" si="36">SUM(D92,G92,H92)</f>
        <v>4.7902765906249991</v>
      </c>
      <c r="G92" s="17">
        <f t="shared" ref="G92:G93" si="37">D92*0.05</f>
        <v>0.22715602812499999</v>
      </c>
      <c r="H92" s="17">
        <v>0.02</v>
      </c>
      <c r="I92" s="17">
        <f t="shared" ref="I92:I93" si="38">F92-D92</f>
        <v>0.24715602812499959</v>
      </c>
      <c r="J92" s="5"/>
      <c r="K92" s="5"/>
      <c r="L92" s="5"/>
      <c r="M92" s="5"/>
      <c r="N92" s="5"/>
      <c r="O92" s="5"/>
      <c r="P92" s="5"/>
      <c r="Q92" s="5"/>
      <c r="R92" s="5"/>
      <c r="S92" s="5"/>
      <c r="T92" s="5"/>
      <c r="U92" s="5"/>
      <c r="V92" s="5"/>
      <c r="W92" s="5"/>
      <c r="X92" s="5"/>
      <c r="Y92" s="5"/>
      <c r="Z92" s="5"/>
      <c r="AA92" s="5"/>
      <c r="AB92" s="5"/>
    </row>
    <row r="93" spans="1:28" ht="20.25">
      <c r="A93" s="23" t="s">
        <v>73</v>
      </c>
      <c r="B93" s="14">
        <v>3.9892249999999998</v>
      </c>
      <c r="C93" s="15">
        <v>4.2886862499999996</v>
      </c>
      <c r="D93" s="16">
        <v>4.5431205624999995</v>
      </c>
      <c r="E93" s="64">
        <v>4.49</v>
      </c>
      <c r="F93" s="16">
        <f t="shared" si="36"/>
        <v>4.7902765906249991</v>
      </c>
      <c r="G93" s="17">
        <f t="shared" si="37"/>
        <v>0.22715602812499999</v>
      </c>
      <c r="H93" s="17">
        <v>0.02</v>
      </c>
      <c r="I93" s="17">
        <f t="shared" si="38"/>
        <v>0.24715602812499959</v>
      </c>
      <c r="J93" s="5"/>
      <c r="K93" s="5"/>
      <c r="L93" s="5"/>
      <c r="M93" s="5"/>
      <c r="N93" s="5"/>
      <c r="O93" s="5"/>
      <c r="P93" s="5"/>
      <c r="Q93" s="5"/>
      <c r="R93" s="5"/>
      <c r="S93" s="5"/>
      <c r="T93" s="5"/>
      <c r="U93" s="5"/>
      <c r="V93" s="5"/>
      <c r="W93" s="5"/>
      <c r="X93" s="5"/>
      <c r="Y93" s="5"/>
      <c r="Z93" s="5"/>
      <c r="AA93" s="5"/>
      <c r="AB93" s="5"/>
    </row>
    <row r="94" spans="1:28" ht="20.25">
      <c r="A94" s="18"/>
      <c r="B94" s="19"/>
      <c r="C94" s="20"/>
      <c r="D94" s="10"/>
      <c r="E94" s="10"/>
      <c r="F94" s="21"/>
      <c r="G94" s="17"/>
      <c r="H94" s="11"/>
      <c r="I94" s="17"/>
      <c r="J94" s="5"/>
      <c r="K94" s="5"/>
      <c r="L94" s="5"/>
      <c r="M94" s="5"/>
      <c r="N94" s="5"/>
      <c r="O94" s="5"/>
      <c r="P94" s="5"/>
      <c r="Q94" s="5"/>
      <c r="R94" s="5"/>
      <c r="S94" s="5"/>
      <c r="T94" s="5"/>
      <c r="U94" s="5"/>
      <c r="V94" s="5"/>
      <c r="W94" s="5"/>
      <c r="X94" s="5"/>
      <c r="Y94" s="5"/>
      <c r="Z94" s="5"/>
      <c r="AA94" s="5"/>
      <c r="AB94" s="5"/>
    </row>
    <row r="95" spans="1:28" ht="20.25">
      <c r="A95" s="22" t="s">
        <v>74</v>
      </c>
      <c r="B95" s="19"/>
      <c r="C95" s="20"/>
      <c r="D95" s="10"/>
      <c r="E95" s="10"/>
      <c r="F95" s="21"/>
      <c r="G95" s="17"/>
      <c r="H95" s="11"/>
      <c r="I95" s="17"/>
      <c r="J95" s="5"/>
      <c r="K95" s="5"/>
      <c r="L95" s="5"/>
      <c r="M95" s="5"/>
      <c r="N95" s="5"/>
      <c r="O95" s="5"/>
      <c r="P95" s="5"/>
      <c r="Q95" s="5"/>
      <c r="R95" s="5"/>
      <c r="S95" s="5"/>
      <c r="T95" s="5"/>
      <c r="U95" s="5"/>
      <c r="V95" s="5"/>
      <c r="W95" s="5"/>
      <c r="X95" s="5"/>
      <c r="Y95" s="5"/>
      <c r="Z95" s="5"/>
      <c r="AA95" s="5"/>
      <c r="AB95" s="5"/>
    </row>
    <row r="96" spans="1:28" ht="20.25">
      <c r="A96" s="23" t="s">
        <v>75</v>
      </c>
      <c r="B96" s="14">
        <v>169.98897500000001</v>
      </c>
      <c r="C96" s="15">
        <v>179.98842375000001</v>
      </c>
      <c r="D96" s="16">
        <v>188.9878449375</v>
      </c>
      <c r="E96" s="64">
        <v>188.99</v>
      </c>
      <c r="F96" s="16">
        <f t="shared" ref="F96:F111" si="39">SUM(D96,G96,H96)</f>
        <v>198.487237184375</v>
      </c>
      <c r="G96" s="17">
        <f t="shared" ref="G96:G111" si="40">D96*0.05</f>
        <v>9.449392246875</v>
      </c>
      <c r="H96" s="17">
        <v>0.05</v>
      </c>
      <c r="I96" s="17">
        <f t="shared" ref="I96:I100" si="41">F96-D96</f>
        <v>9.4993922468750043</v>
      </c>
      <c r="J96" s="5"/>
      <c r="K96" s="5"/>
      <c r="L96" s="5"/>
      <c r="M96" s="5"/>
      <c r="N96" s="5"/>
      <c r="O96" s="5"/>
      <c r="P96" s="5"/>
      <c r="Q96" s="5"/>
      <c r="R96" s="5"/>
      <c r="S96" s="5"/>
      <c r="T96" s="5"/>
      <c r="U96" s="5"/>
      <c r="V96" s="5"/>
      <c r="W96" s="5"/>
      <c r="X96" s="5"/>
      <c r="Y96" s="5"/>
      <c r="Z96" s="5"/>
      <c r="AA96" s="5"/>
      <c r="AB96" s="5"/>
    </row>
    <row r="97" spans="1:28" ht="20.25">
      <c r="A97" s="23" t="s">
        <v>76</v>
      </c>
      <c r="B97" s="14">
        <v>209.98897500000001</v>
      </c>
      <c r="C97" s="15">
        <v>219.98842375000001</v>
      </c>
      <c r="D97" s="16">
        <v>230.9878449375</v>
      </c>
      <c r="E97" s="64">
        <v>230.99</v>
      </c>
      <c r="F97" s="16">
        <f t="shared" si="39"/>
        <v>242.587237184375</v>
      </c>
      <c r="G97" s="17">
        <f t="shared" si="40"/>
        <v>11.549392246875001</v>
      </c>
      <c r="H97" s="17">
        <v>0.05</v>
      </c>
      <c r="I97" s="17">
        <f t="shared" si="41"/>
        <v>11.599392246874999</v>
      </c>
      <c r="J97" s="5"/>
      <c r="K97" s="5"/>
      <c r="L97" s="5"/>
      <c r="M97" s="5"/>
      <c r="N97" s="5"/>
      <c r="O97" s="5"/>
      <c r="P97" s="5"/>
      <c r="Q97" s="5"/>
      <c r="R97" s="5"/>
      <c r="S97" s="5"/>
      <c r="T97" s="5"/>
      <c r="U97" s="5"/>
      <c r="V97" s="5"/>
      <c r="W97" s="5"/>
      <c r="X97" s="5"/>
      <c r="Y97" s="5"/>
      <c r="Z97" s="5"/>
      <c r="AA97" s="5"/>
      <c r="AB97" s="5"/>
    </row>
    <row r="98" spans="1:28" ht="20.25">
      <c r="A98" s="23" t="s">
        <v>77</v>
      </c>
      <c r="B98" s="14">
        <v>259.98897499999998</v>
      </c>
      <c r="C98" s="15">
        <v>269.98842374999998</v>
      </c>
      <c r="D98" s="16">
        <v>283.48784493749997</v>
      </c>
      <c r="E98" s="64">
        <v>283.49</v>
      </c>
      <c r="F98" s="16">
        <f t="shared" si="39"/>
        <v>297.69223718437496</v>
      </c>
      <c r="G98" s="17">
        <f t="shared" si="40"/>
        <v>14.174392246875</v>
      </c>
      <c r="H98" s="17">
        <v>0.03</v>
      </c>
      <c r="I98" s="17">
        <f t="shared" si="41"/>
        <v>14.204392246874988</v>
      </c>
      <c r="J98" s="5"/>
      <c r="K98" s="5"/>
      <c r="L98" s="5"/>
      <c r="M98" s="5"/>
      <c r="N98" s="5"/>
      <c r="O98" s="5"/>
      <c r="P98" s="5"/>
      <c r="Q98" s="5"/>
      <c r="R98" s="5"/>
      <c r="S98" s="5"/>
      <c r="T98" s="5"/>
      <c r="U98" s="5"/>
      <c r="V98" s="5"/>
      <c r="W98" s="5"/>
      <c r="X98" s="5"/>
      <c r="Y98" s="5"/>
      <c r="Z98" s="5"/>
      <c r="AA98" s="5"/>
      <c r="AB98" s="5"/>
    </row>
    <row r="99" spans="1:28" ht="20.25">
      <c r="A99" s="23" t="s">
        <v>78</v>
      </c>
      <c r="B99" s="14">
        <v>319.98897499999998</v>
      </c>
      <c r="C99" s="15">
        <v>334.68842374999997</v>
      </c>
      <c r="D99" s="16">
        <v>351.3928449375</v>
      </c>
      <c r="E99" s="64">
        <v>351.39</v>
      </c>
      <c r="F99" s="16">
        <f t="shared" si="39"/>
        <v>368.99248718437497</v>
      </c>
      <c r="G99" s="17">
        <f t="shared" si="40"/>
        <v>17.569642246875002</v>
      </c>
      <c r="H99" s="17">
        <v>0.03</v>
      </c>
      <c r="I99" s="17">
        <f t="shared" si="41"/>
        <v>17.599642246874964</v>
      </c>
      <c r="J99" s="5"/>
      <c r="K99" s="5"/>
      <c r="L99" s="5"/>
      <c r="M99" s="5"/>
      <c r="N99" s="5"/>
      <c r="O99" s="5"/>
      <c r="P99" s="5"/>
      <c r="Q99" s="5"/>
      <c r="R99" s="5"/>
      <c r="S99" s="5"/>
      <c r="T99" s="5"/>
      <c r="U99" s="5"/>
      <c r="V99" s="5"/>
      <c r="W99" s="5"/>
      <c r="X99" s="5"/>
      <c r="Y99" s="5"/>
      <c r="Z99" s="5"/>
      <c r="AA99" s="5"/>
      <c r="AB99" s="5"/>
    </row>
    <row r="100" spans="1:28" ht="20.25">
      <c r="A100" s="23" t="s">
        <v>79</v>
      </c>
      <c r="B100" s="14">
        <v>20.988975</v>
      </c>
      <c r="C100" s="15">
        <v>22.988423749999999</v>
      </c>
      <c r="D100" s="16">
        <v>24.087844937499998</v>
      </c>
      <c r="E100" s="64">
        <v>24.09</v>
      </c>
      <c r="F100" s="16">
        <f t="shared" si="39"/>
        <v>25.292237184374997</v>
      </c>
      <c r="G100" s="17">
        <f t="shared" si="40"/>
        <v>1.2043922468749999</v>
      </c>
      <c r="H100" s="17">
        <v>0</v>
      </c>
      <c r="I100" s="17">
        <f t="shared" si="41"/>
        <v>1.204392246874999</v>
      </c>
      <c r="J100" s="5"/>
      <c r="K100" s="5"/>
      <c r="L100" s="5"/>
      <c r="M100" s="5"/>
      <c r="N100" s="5"/>
      <c r="O100" s="5"/>
      <c r="P100" s="5"/>
      <c r="Q100" s="5"/>
      <c r="R100" s="5"/>
      <c r="S100" s="5"/>
      <c r="T100" s="5"/>
      <c r="U100" s="5"/>
      <c r="V100" s="5"/>
      <c r="W100" s="5"/>
      <c r="X100" s="5"/>
      <c r="Y100" s="5"/>
      <c r="Z100" s="5"/>
      <c r="AA100" s="5"/>
      <c r="AB100" s="5"/>
    </row>
    <row r="101" spans="1:28" ht="20.25">
      <c r="A101" s="23" t="s">
        <v>80</v>
      </c>
      <c r="B101" s="14">
        <v>54.988975000000003</v>
      </c>
      <c r="C101" s="15">
        <v>57.088423750000004</v>
      </c>
      <c r="D101" s="16">
        <v>59.892844937500008</v>
      </c>
      <c r="E101" s="64">
        <v>59.89</v>
      </c>
      <c r="F101" s="16">
        <f t="shared" si="39"/>
        <v>62.887487184375011</v>
      </c>
      <c r="G101" s="17">
        <f t="shared" si="40"/>
        <v>2.9946422468750007</v>
      </c>
      <c r="H101" s="17"/>
      <c r="I101" s="17"/>
      <c r="J101" s="5"/>
      <c r="K101" s="5"/>
      <c r="L101" s="5"/>
      <c r="M101" s="5"/>
      <c r="N101" s="5"/>
      <c r="O101" s="5"/>
      <c r="P101" s="5"/>
      <c r="Q101" s="5"/>
      <c r="R101" s="5"/>
      <c r="S101" s="5"/>
      <c r="T101" s="5"/>
      <c r="U101" s="5"/>
      <c r="V101" s="5"/>
      <c r="W101" s="5"/>
      <c r="X101" s="5"/>
      <c r="Y101" s="5"/>
      <c r="Z101" s="5"/>
      <c r="AA101" s="5"/>
      <c r="AB101" s="5"/>
    </row>
    <row r="102" spans="1:28" ht="20.25">
      <c r="A102" s="23" t="s">
        <v>81</v>
      </c>
      <c r="B102" s="14">
        <v>99.988974999999996</v>
      </c>
      <c r="C102" s="15">
        <v>104.98842375</v>
      </c>
      <c r="D102" s="16">
        <v>110.1878449375</v>
      </c>
      <c r="E102" s="64">
        <v>110.19</v>
      </c>
      <c r="F102" s="16">
        <f t="shared" si="39"/>
        <v>115.68723718437499</v>
      </c>
      <c r="G102" s="17">
        <f t="shared" si="40"/>
        <v>5.5093922468750005</v>
      </c>
      <c r="H102" s="17">
        <v>-0.01</v>
      </c>
      <c r="I102" s="17">
        <f t="shared" ref="I102:I111" si="42">F102-D102</f>
        <v>5.4993922468749901</v>
      </c>
      <c r="J102" s="5"/>
      <c r="K102" s="5"/>
      <c r="L102" s="5"/>
      <c r="M102" s="5"/>
      <c r="N102" s="5"/>
      <c r="O102" s="5"/>
      <c r="P102" s="5"/>
      <c r="Q102" s="5"/>
      <c r="R102" s="5"/>
      <c r="S102" s="5"/>
      <c r="T102" s="5"/>
      <c r="U102" s="5"/>
      <c r="V102" s="5"/>
      <c r="W102" s="5"/>
      <c r="X102" s="5"/>
      <c r="Y102" s="5"/>
      <c r="Z102" s="5"/>
      <c r="AA102" s="5"/>
      <c r="AB102" s="5"/>
    </row>
    <row r="103" spans="1:28" ht="20.25">
      <c r="A103" s="23" t="s">
        <v>82</v>
      </c>
      <c r="B103" s="14">
        <v>21.988975</v>
      </c>
      <c r="C103" s="15">
        <v>23.988423749999999</v>
      </c>
      <c r="D103" s="16">
        <v>25.1878449375</v>
      </c>
      <c r="E103" s="64">
        <v>25.19</v>
      </c>
      <c r="F103" s="16">
        <f t="shared" si="39"/>
        <v>26.487237184374997</v>
      </c>
      <c r="G103" s="17">
        <f t="shared" si="40"/>
        <v>1.2593922468750001</v>
      </c>
      <c r="H103" s="17">
        <v>0.04</v>
      </c>
      <c r="I103" s="17">
        <f t="shared" si="42"/>
        <v>1.2993922468749979</v>
      </c>
      <c r="J103" s="5"/>
      <c r="K103" s="5"/>
      <c r="L103" s="5"/>
      <c r="M103" s="5"/>
      <c r="N103" s="5"/>
      <c r="O103" s="5"/>
      <c r="P103" s="5"/>
      <c r="Q103" s="5"/>
      <c r="R103" s="5"/>
      <c r="S103" s="5"/>
      <c r="T103" s="5"/>
      <c r="U103" s="5"/>
      <c r="V103" s="5"/>
      <c r="W103" s="5"/>
      <c r="X103" s="5"/>
      <c r="Y103" s="5"/>
      <c r="Z103" s="5"/>
      <c r="AA103" s="5"/>
      <c r="AB103" s="5"/>
    </row>
    <row r="104" spans="1:28" ht="20.25">
      <c r="A104" s="23" t="s">
        <v>83</v>
      </c>
      <c r="B104" s="14">
        <v>33.588974999999998</v>
      </c>
      <c r="C104" s="15">
        <v>35.988423749999995</v>
      </c>
      <c r="D104" s="16">
        <v>37.787844937499997</v>
      </c>
      <c r="E104" s="64">
        <v>37.79</v>
      </c>
      <c r="F104" s="16">
        <f t="shared" si="39"/>
        <v>39.687237184374993</v>
      </c>
      <c r="G104" s="17">
        <f t="shared" si="40"/>
        <v>1.889392246875</v>
      </c>
      <c r="H104" s="17">
        <v>0.01</v>
      </c>
      <c r="I104" s="17">
        <f t="shared" si="42"/>
        <v>1.8993922468749957</v>
      </c>
      <c r="J104" s="5"/>
      <c r="K104" s="5"/>
      <c r="L104" s="5"/>
      <c r="M104" s="5"/>
      <c r="N104" s="5"/>
      <c r="O104" s="5"/>
      <c r="P104" s="5"/>
      <c r="Q104" s="5"/>
      <c r="R104" s="5"/>
      <c r="S104" s="5"/>
      <c r="T104" s="5"/>
      <c r="U104" s="5"/>
      <c r="V104" s="5"/>
      <c r="W104" s="5"/>
      <c r="X104" s="5"/>
      <c r="Y104" s="5"/>
      <c r="Z104" s="5"/>
      <c r="AA104" s="5"/>
      <c r="AB104" s="5"/>
    </row>
    <row r="105" spans="1:28" ht="20.25">
      <c r="A105" s="23" t="s">
        <v>84</v>
      </c>
      <c r="B105" s="14">
        <v>11.988975</v>
      </c>
      <c r="C105" s="15">
        <v>13.03842375</v>
      </c>
      <c r="D105" s="16">
        <v>13.690344937499999</v>
      </c>
      <c r="E105" s="64">
        <v>13.69</v>
      </c>
      <c r="F105" s="16">
        <f t="shared" si="39"/>
        <v>14.394862184374999</v>
      </c>
      <c r="G105" s="17">
        <f t="shared" si="40"/>
        <v>0.68451724687500004</v>
      </c>
      <c r="H105" s="17">
        <v>0.02</v>
      </c>
      <c r="I105" s="17">
        <f t="shared" si="42"/>
        <v>0.70451724687499961</v>
      </c>
      <c r="J105" s="5"/>
      <c r="K105" s="5"/>
      <c r="L105" s="5"/>
      <c r="M105" s="5"/>
      <c r="N105" s="5"/>
      <c r="O105" s="5"/>
      <c r="P105" s="5"/>
      <c r="Q105" s="5"/>
      <c r="R105" s="5"/>
      <c r="S105" s="5"/>
      <c r="T105" s="5"/>
      <c r="U105" s="5"/>
      <c r="V105" s="5"/>
      <c r="W105" s="5"/>
      <c r="X105" s="5"/>
      <c r="Y105" s="5"/>
      <c r="Z105" s="5"/>
      <c r="AA105" s="5"/>
      <c r="AB105" s="5"/>
    </row>
    <row r="106" spans="1:28" ht="20.25">
      <c r="A106" s="23" t="s">
        <v>85</v>
      </c>
      <c r="B106" s="14">
        <v>5.5939750000000004</v>
      </c>
      <c r="C106" s="15">
        <v>5.993673750000001</v>
      </c>
      <c r="D106" s="16">
        <v>6.293357437500001</v>
      </c>
      <c r="E106" s="64">
        <v>6.29</v>
      </c>
      <c r="F106" s="16">
        <f t="shared" si="39"/>
        <v>6.5880253093750012</v>
      </c>
      <c r="G106" s="17">
        <f t="shared" si="40"/>
        <v>0.31466787187500006</v>
      </c>
      <c r="H106" s="17">
        <v>-0.02</v>
      </c>
      <c r="I106" s="17">
        <f t="shared" si="42"/>
        <v>0.29466787187500021</v>
      </c>
      <c r="J106" s="5"/>
      <c r="K106" s="5"/>
      <c r="L106" s="5"/>
      <c r="M106" s="5"/>
      <c r="N106" s="5"/>
      <c r="O106" s="5"/>
      <c r="P106" s="5"/>
      <c r="Q106" s="5"/>
      <c r="R106" s="5"/>
      <c r="S106" s="5"/>
      <c r="T106" s="5"/>
      <c r="U106" s="5"/>
      <c r="V106" s="5"/>
      <c r="W106" s="5"/>
      <c r="X106" s="5"/>
      <c r="Y106" s="5"/>
      <c r="Z106" s="5"/>
      <c r="AA106" s="5"/>
      <c r="AB106" s="5"/>
    </row>
    <row r="107" spans="1:28" ht="20.25">
      <c r="A107" s="23" t="s">
        <v>86</v>
      </c>
      <c r="B107" s="14">
        <v>3.4889749999999999</v>
      </c>
      <c r="C107" s="15">
        <v>3.9934237500000003</v>
      </c>
      <c r="D107" s="16">
        <v>4.1930949375000006</v>
      </c>
      <c r="E107" s="64">
        <v>4.1900000000000004</v>
      </c>
      <c r="F107" s="16">
        <f t="shared" si="39"/>
        <v>4.3927496843750005</v>
      </c>
      <c r="G107" s="17">
        <f t="shared" si="40"/>
        <v>0.20965474687500005</v>
      </c>
      <c r="H107" s="17">
        <v>-0.01</v>
      </c>
      <c r="I107" s="17">
        <f t="shared" si="42"/>
        <v>0.19965474687499984</v>
      </c>
      <c r="J107" s="5"/>
      <c r="K107" s="5"/>
      <c r="L107" s="5"/>
      <c r="M107" s="5"/>
      <c r="N107" s="5"/>
      <c r="O107" s="5"/>
      <c r="P107" s="5"/>
      <c r="Q107" s="5"/>
      <c r="R107" s="5"/>
      <c r="S107" s="5"/>
      <c r="T107" s="5"/>
      <c r="U107" s="5"/>
      <c r="V107" s="5"/>
      <c r="W107" s="5"/>
      <c r="X107" s="5"/>
      <c r="Y107" s="5"/>
      <c r="Z107" s="5"/>
      <c r="AA107" s="5"/>
      <c r="AB107" s="5"/>
    </row>
    <row r="108" spans="1:28" ht="20.25">
      <c r="A108" s="23" t="s">
        <v>87</v>
      </c>
      <c r="B108" s="14">
        <v>5.5939750000000004</v>
      </c>
      <c r="C108" s="15">
        <v>5.993673750000001</v>
      </c>
      <c r="D108" s="16">
        <v>6.293357437500001</v>
      </c>
      <c r="E108" s="64">
        <v>6.29</v>
      </c>
      <c r="F108" s="16">
        <f t="shared" si="39"/>
        <v>6.5880253093750012</v>
      </c>
      <c r="G108" s="17">
        <f t="shared" si="40"/>
        <v>0.31466787187500006</v>
      </c>
      <c r="H108" s="17">
        <v>-0.02</v>
      </c>
      <c r="I108" s="17">
        <f t="shared" si="42"/>
        <v>0.29466787187500021</v>
      </c>
      <c r="J108" s="5"/>
      <c r="K108" s="5"/>
      <c r="L108" s="5"/>
      <c r="M108" s="5"/>
      <c r="N108" s="5"/>
      <c r="O108" s="5"/>
      <c r="P108" s="5"/>
      <c r="Q108" s="5"/>
      <c r="R108" s="5"/>
      <c r="S108" s="5"/>
      <c r="T108" s="5"/>
      <c r="U108" s="5"/>
      <c r="V108" s="5"/>
      <c r="W108" s="5"/>
      <c r="X108" s="5"/>
      <c r="Y108" s="5"/>
      <c r="Z108" s="5"/>
      <c r="AA108" s="5"/>
      <c r="AB108" s="5"/>
    </row>
    <row r="109" spans="1:28" ht="20.25">
      <c r="A109" s="23" t="s">
        <v>88</v>
      </c>
      <c r="B109" s="14">
        <v>9.9939750000000007</v>
      </c>
      <c r="C109" s="15">
        <v>10.52367375</v>
      </c>
      <c r="D109" s="16">
        <v>11.089857437499999</v>
      </c>
      <c r="E109" s="64">
        <v>10.99</v>
      </c>
      <c r="F109" s="16">
        <f t="shared" si="39"/>
        <v>11.694350309375</v>
      </c>
      <c r="G109" s="17">
        <f t="shared" si="40"/>
        <v>0.55449287187499996</v>
      </c>
      <c r="H109" s="17">
        <v>0.05</v>
      </c>
      <c r="I109" s="17">
        <f t="shared" si="42"/>
        <v>0.60449287187500111</v>
      </c>
      <c r="J109" s="5"/>
      <c r="K109" s="5"/>
      <c r="L109" s="5"/>
      <c r="M109" s="5"/>
      <c r="N109" s="5"/>
      <c r="O109" s="5"/>
      <c r="P109" s="5"/>
      <c r="Q109" s="5"/>
      <c r="R109" s="5"/>
      <c r="S109" s="5"/>
      <c r="T109" s="5"/>
      <c r="U109" s="5"/>
      <c r="V109" s="5"/>
      <c r="W109" s="5"/>
      <c r="X109" s="5"/>
      <c r="Y109" s="5"/>
      <c r="Z109" s="5"/>
      <c r="AA109" s="5"/>
      <c r="AB109" s="5"/>
    </row>
    <row r="110" spans="1:28" ht="20.25">
      <c r="A110" s="23" t="s">
        <v>89</v>
      </c>
      <c r="B110" s="14">
        <v>22.988975</v>
      </c>
      <c r="C110" s="15">
        <v>24.988423750000003</v>
      </c>
      <c r="D110" s="16">
        <v>26.187844937500003</v>
      </c>
      <c r="E110" s="64">
        <v>26.19</v>
      </c>
      <c r="F110" s="16">
        <f t="shared" si="39"/>
        <v>27.487237184375001</v>
      </c>
      <c r="G110" s="17">
        <f t="shared" si="40"/>
        <v>1.3093922468750003</v>
      </c>
      <c r="H110" s="17">
        <v>-0.01</v>
      </c>
      <c r="I110" s="17">
        <f t="shared" si="42"/>
        <v>1.2993922468749979</v>
      </c>
      <c r="J110" s="5"/>
      <c r="K110" s="5"/>
      <c r="L110" s="5"/>
      <c r="M110" s="5"/>
      <c r="N110" s="5"/>
      <c r="O110" s="5"/>
      <c r="P110" s="5"/>
      <c r="Q110" s="5"/>
      <c r="R110" s="5"/>
      <c r="S110" s="5"/>
      <c r="T110" s="5"/>
      <c r="U110" s="5"/>
      <c r="V110" s="5"/>
      <c r="W110" s="5"/>
      <c r="X110" s="5"/>
      <c r="Y110" s="5"/>
      <c r="Z110" s="5"/>
      <c r="AA110" s="5"/>
      <c r="AB110" s="5"/>
    </row>
    <row r="111" spans="1:28" ht="20.25">
      <c r="A111" s="23" t="s">
        <v>90</v>
      </c>
      <c r="B111" s="14">
        <v>22.988975</v>
      </c>
      <c r="C111" s="15">
        <v>24.988423750000003</v>
      </c>
      <c r="D111" s="16">
        <v>26.187844937500003</v>
      </c>
      <c r="E111" s="64">
        <v>26.19</v>
      </c>
      <c r="F111" s="16">
        <f t="shared" si="39"/>
        <v>27.487237184375001</v>
      </c>
      <c r="G111" s="17">
        <f t="shared" si="40"/>
        <v>1.3093922468750003</v>
      </c>
      <c r="H111" s="17">
        <v>-0.01</v>
      </c>
      <c r="I111" s="17">
        <f t="shared" si="42"/>
        <v>1.2993922468749979</v>
      </c>
      <c r="J111" s="5"/>
      <c r="K111" s="5"/>
      <c r="L111" s="5"/>
      <c r="M111" s="5"/>
      <c r="N111" s="5"/>
      <c r="O111" s="5"/>
      <c r="P111" s="5"/>
      <c r="Q111" s="5"/>
      <c r="R111" s="5"/>
      <c r="S111" s="5"/>
      <c r="T111" s="5"/>
      <c r="U111" s="5"/>
      <c r="V111" s="5"/>
      <c r="W111" s="5"/>
      <c r="X111" s="5"/>
      <c r="Y111" s="5"/>
      <c r="Z111" s="5"/>
      <c r="AA111" s="5"/>
      <c r="AB111" s="5"/>
    </row>
    <row r="112" spans="1:28" ht="20.25">
      <c r="A112" s="18"/>
      <c r="B112" s="19"/>
      <c r="C112" s="20"/>
      <c r="D112" s="10"/>
      <c r="E112" s="10"/>
      <c r="F112" s="21"/>
      <c r="G112" s="17"/>
      <c r="H112" s="11"/>
      <c r="I112" s="17"/>
      <c r="J112" s="5"/>
      <c r="K112" s="5"/>
      <c r="L112" s="5"/>
      <c r="M112" s="5"/>
      <c r="N112" s="5"/>
      <c r="O112" s="5"/>
      <c r="P112" s="5"/>
      <c r="Q112" s="5"/>
      <c r="R112" s="5"/>
      <c r="S112" s="5"/>
      <c r="T112" s="5"/>
      <c r="U112" s="5"/>
      <c r="V112" s="5"/>
      <c r="W112" s="5"/>
      <c r="X112" s="5"/>
      <c r="Y112" s="5"/>
      <c r="Z112" s="5"/>
      <c r="AA112" s="5"/>
      <c r="AB112" s="5"/>
    </row>
    <row r="113" spans="1:28" ht="20.25">
      <c r="A113" s="22" t="s">
        <v>91</v>
      </c>
      <c r="B113" s="19"/>
      <c r="C113" s="20"/>
      <c r="D113" s="10"/>
      <c r="E113" s="10"/>
      <c r="F113" s="21"/>
      <c r="G113" s="17"/>
      <c r="H113" s="11"/>
      <c r="I113" s="17"/>
      <c r="J113" s="5"/>
      <c r="K113" s="5"/>
      <c r="L113" s="5"/>
      <c r="M113" s="5"/>
      <c r="N113" s="5"/>
      <c r="O113" s="5"/>
      <c r="P113" s="5"/>
      <c r="Q113" s="5"/>
      <c r="R113" s="5"/>
      <c r="S113" s="5"/>
      <c r="T113" s="5"/>
      <c r="U113" s="5"/>
      <c r="V113" s="5"/>
      <c r="W113" s="5"/>
      <c r="X113" s="5"/>
      <c r="Y113" s="5"/>
      <c r="Z113" s="5"/>
      <c r="AA113" s="5"/>
      <c r="AB113" s="5"/>
    </row>
    <row r="114" spans="1:28" ht="20.25">
      <c r="A114" s="23" t="s">
        <v>92</v>
      </c>
      <c r="B114" s="14">
        <v>2.9892249999999998</v>
      </c>
      <c r="C114" s="15">
        <v>3.1886862499999999</v>
      </c>
      <c r="D114" s="16">
        <v>3.3881205625000002</v>
      </c>
      <c r="E114" s="64">
        <v>3.29</v>
      </c>
      <c r="F114" s="16">
        <f t="shared" ref="F114:F119" si="43">SUM(D114,G114,H114)</f>
        <v>3.587526590625</v>
      </c>
      <c r="G114" s="17">
        <f t="shared" ref="G114:G119" si="44">D114*0.05</f>
        <v>0.16940602812500002</v>
      </c>
      <c r="H114" s="17">
        <v>0.03</v>
      </c>
      <c r="I114" s="17">
        <f t="shared" ref="I114:I119" si="45">F114-D114</f>
        <v>0.19940602812499986</v>
      </c>
      <c r="J114" s="5"/>
      <c r="K114" s="5"/>
      <c r="L114" s="5"/>
      <c r="M114" s="5"/>
      <c r="N114" s="5"/>
      <c r="O114" s="5"/>
      <c r="P114" s="5"/>
      <c r="Q114" s="5"/>
      <c r="R114" s="5"/>
      <c r="S114" s="5"/>
      <c r="T114" s="5"/>
      <c r="U114" s="5"/>
      <c r="V114" s="5"/>
      <c r="W114" s="5"/>
      <c r="X114" s="5"/>
      <c r="Y114" s="5"/>
      <c r="Z114" s="5"/>
      <c r="AA114" s="5"/>
      <c r="AB114" s="5"/>
    </row>
    <row r="115" spans="1:28" ht="20.25">
      <c r="A115" s="23" t="s">
        <v>93</v>
      </c>
      <c r="B115" s="14">
        <v>3.3889749999999998</v>
      </c>
      <c r="C115" s="15">
        <v>3.5884237499999996</v>
      </c>
      <c r="D115" s="16">
        <v>3.7878449374999996</v>
      </c>
      <c r="E115" s="64">
        <v>3.79</v>
      </c>
      <c r="F115" s="16">
        <f t="shared" si="43"/>
        <v>3.9772371843749994</v>
      </c>
      <c r="G115" s="17">
        <f t="shared" si="44"/>
        <v>0.189392246875</v>
      </c>
      <c r="H115" s="17">
        <v>0</v>
      </c>
      <c r="I115" s="17">
        <f t="shared" si="45"/>
        <v>0.18939224687499978</v>
      </c>
      <c r="J115" s="5"/>
      <c r="K115" s="5"/>
      <c r="L115" s="5"/>
      <c r="M115" s="5"/>
      <c r="N115" s="5"/>
      <c r="O115" s="5"/>
      <c r="P115" s="5"/>
      <c r="Q115" s="5"/>
      <c r="R115" s="5"/>
      <c r="S115" s="5"/>
      <c r="T115" s="5"/>
      <c r="U115" s="5"/>
      <c r="V115" s="5"/>
      <c r="W115" s="5"/>
      <c r="X115" s="5"/>
      <c r="Y115" s="5"/>
      <c r="Z115" s="5"/>
      <c r="AA115" s="5"/>
      <c r="AB115" s="5"/>
    </row>
    <row r="116" spans="1:28" ht="20.25">
      <c r="A116" s="23" t="s">
        <v>94</v>
      </c>
      <c r="B116" s="14">
        <v>2.193975</v>
      </c>
      <c r="C116" s="15">
        <v>2.2936737500000004</v>
      </c>
      <c r="D116" s="16">
        <v>2.3883574375000003</v>
      </c>
      <c r="E116" s="64">
        <v>2.39</v>
      </c>
      <c r="F116" s="16">
        <f t="shared" si="43"/>
        <v>2.4877753093750004</v>
      </c>
      <c r="G116" s="17">
        <f t="shared" si="44"/>
        <v>0.11941787187500003</v>
      </c>
      <c r="H116" s="17">
        <v>-0.02</v>
      </c>
      <c r="I116" s="17">
        <f t="shared" si="45"/>
        <v>9.9417871875000063E-2</v>
      </c>
      <c r="J116" s="5"/>
      <c r="K116" s="5"/>
      <c r="L116" s="5"/>
      <c r="M116" s="5"/>
      <c r="N116" s="5"/>
      <c r="O116" s="5"/>
      <c r="P116" s="5"/>
      <c r="Q116" s="5"/>
      <c r="R116" s="5"/>
      <c r="S116" s="5"/>
      <c r="T116" s="5"/>
      <c r="U116" s="5"/>
      <c r="V116" s="5"/>
      <c r="W116" s="5"/>
      <c r="X116" s="5"/>
      <c r="Y116" s="5"/>
      <c r="Z116" s="5"/>
      <c r="AA116" s="5"/>
      <c r="AB116" s="5"/>
    </row>
    <row r="117" spans="1:28" ht="20.25">
      <c r="A117" s="23" t="s">
        <v>95</v>
      </c>
      <c r="B117" s="14">
        <v>3.3889749999999998</v>
      </c>
      <c r="C117" s="15">
        <v>3.5884237499999996</v>
      </c>
      <c r="D117" s="16">
        <v>3.7878449374999996</v>
      </c>
      <c r="E117" s="64">
        <v>3.79</v>
      </c>
      <c r="F117" s="16">
        <f t="shared" si="43"/>
        <v>3.9772371843749994</v>
      </c>
      <c r="G117" s="17">
        <f t="shared" si="44"/>
        <v>0.189392246875</v>
      </c>
      <c r="H117" s="17">
        <v>0</v>
      </c>
      <c r="I117" s="17">
        <f t="shared" si="45"/>
        <v>0.18939224687499978</v>
      </c>
      <c r="J117" s="5"/>
      <c r="K117" s="5"/>
      <c r="L117" s="5"/>
      <c r="M117" s="5"/>
      <c r="N117" s="5"/>
      <c r="O117" s="5"/>
      <c r="P117" s="5"/>
      <c r="Q117" s="5"/>
      <c r="R117" s="5"/>
      <c r="S117" s="5"/>
      <c r="T117" s="5"/>
      <c r="U117" s="5"/>
      <c r="V117" s="5"/>
      <c r="W117" s="5"/>
      <c r="X117" s="5"/>
      <c r="Y117" s="5"/>
      <c r="Z117" s="5"/>
      <c r="AA117" s="5"/>
      <c r="AB117" s="5"/>
    </row>
    <row r="118" spans="1:28" ht="20.25">
      <c r="A118" s="23" t="s">
        <v>96</v>
      </c>
      <c r="B118" s="14">
        <v>22.988975</v>
      </c>
      <c r="C118" s="15">
        <v>24.988423750000003</v>
      </c>
      <c r="D118" s="16">
        <v>26.187844937500003</v>
      </c>
      <c r="E118" s="64">
        <v>26.19</v>
      </c>
      <c r="F118" s="16">
        <f t="shared" si="43"/>
        <v>27.447237184375002</v>
      </c>
      <c r="G118" s="17">
        <f t="shared" si="44"/>
        <v>1.3093922468750003</v>
      </c>
      <c r="H118" s="17">
        <v>-0.05</v>
      </c>
      <c r="I118" s="17">
        <f t="shared" si="45"/>
        <v>1.2593922468749987</v>
      </c>
      <c r="J118" s="5"/>
      <c r="K118" s="5"/>
      <c r="L118" s="5"/>
      <c r="M118" s="5"/>
      <c r="N118" s="5"/>
      <c r="O118" s="5"/>
      <c r="P118" s="5"/>
      <c r="Q118" s="5"/>
      <c r="R118" s="5"/>
      <c r="S118" s="5"/>
      <c r="T118" s="5"/>
      <c r="U118" s="5"/>
      <c r="V118" s="5"/>
      <c r="W118" s="5"/>
      <c r="X118" s="5"/>
      <c r="Y118" s="5"/>
      <c r="Z118" s="5"/>
      <c r="AA118" s="5"/>
      <c r="AB118" s="5"/>
    </row>
    <row r="119" spans="1:28" ht="20.25">
      <c r="A119" s="23" t="s">
        <v>97</v>
      </c>
      <c r="B119" s="14">
        <v>0.99</v>
      </c>
      <c r="C119" s="15">
        <v>0.99</v>
      </c>
      <c r="D119" s="16">
        <v>0.98950000000000005</v>
      </c>
      <c r="E119" s="64">
        <v>1.0900000000000001</v>
      </c>
      <c r="F119" s="16">
        <f t="shared" si="43"/>
        <v>0.98897499999999994</v>
      </c>
      <c r="G119" s="17">
        <f t="shared" si="44"/>
        <v>4.9475000000000005E-2</v>
      </c>
      <c r="H119" s="17">
        <v>-0.05</v>
      </c>
      <c r="I119" s="17">
        <f t="shared" si="45"/>
        <v>-5.2500000000010871E-4</v>
      </c>
      <c r="J119" s="5"/>
      <c r="K119" s="5"/>
      <c r="L119" s="5"/>
      <c r="M119" s="5"/>
      <c r="N119" s="5"/>
      <c r="O119" s="5"/>
      <c r="P119" s="5"/>
      <c r="Q119" s="5"/>
      <c r="R119" s="5"/>
      <c r="S119" s="5"/>
      <c r="T119" s="5"/>
      <c r="U119" s="5"/>
      <c r="V119" s="5"/>
      <c r="W119" s="5"/>
      <c r="X119" s="5"/>
      <c r="Y119" s="5"/>
      <c r="Z119" s="5"/>
      <c r="AA119" s="5"/>
      <c r="AB119" s="5"/>
    </row>
    <row r="120" spans="1:28" s="58" customFormat="1" ht="20.25">
      <c r="A120" s="54" t="s">
        <v>132</v>
      </c>
      <c r="B120" s="55"/>
      <c r="C120" s="56"/>
      <c r="D120" s="47"/>
      <c r="E120" s="64">
        <v>3.49</v>
      </c>
      <c r="F120" s="47"/>
      <c r="G120" s="48"/>
      <c r="H120" s="48"/>
      <c r="I120" s="48"/>
      <c r="J120" s="57"/>
      <c r="K120" s="57"/>
      <c r="L120" s="57"/>
      <c r="M120" s="57"/>
      <c r="N120" s="57"/>
      <c r="O120" s="57"/>
      <c r="P120" s="57"/>
      <c r="Q120" s="57"/>
      <c r="R120" s="57"/>
      <c r="S120" s="57"/>
      <c r="T120" s="57"/>
      <c r="U120" s="57"/>
      <c r="V120" s="57"/>
      <c r="W120" s="57"/>
      <c r="X120" s="57"/>
      <c r="Y120" s="57"/>
      <c r="Z120" s="57"/>
      <c r="AA120" s="57"/>
      <c r="AB120" s="57"/>
    </row>
    <row r="121" spans="1:28" s="58" customFormat="1" ht="20.25">
      <c r="A121" s="54" t="s">
        <v>131</v>
      </c>
      <c r="B121" s="55"/>
      <c r="C121" s="56"/>
      <c r="D121" s="47"/>
      <c r="E121" s="64">
        <v>23.79</v>
      </c>
      <c r="F121" s="47"/>
      <c r="G121" s="48"/>
      <c r="H121" s="48"/>
      <c r="I121" s="48"/>
      <c r="J121" s="57"/>
      <c r="K121" s="57"/>
      <c r="L121" s="57"/>
      <c r="M121" s="57"/>
      <c r="N121" s="57"/>
      <c r="O121" s="57"/>
      <c r="P121" s="57"/>
      <c r="Q121" s="57"/>
      <c r="R121" s="57"/>
      <c r="S121" s="57"/>
      <c r="T121" s="57"/>
      <c r="U121" s="57"/>
      <c r="V121" s="57"/>
      <c r="W121" s="57"/>
      <c r="X121" s="57"/>
      <c r="Y121" s="57"/>
      <c r="Z121" s="57"/>
      <c r="AA121" s="57"/>
      <c r="AB121" s="57"/>
    </row>
    <row r="122" spans="1:28" ht="20.25">
      <c r="A122" s="24"/>
      <c r="B122" s="19"/>
      <c r="C122" s="20"/>
      <c r="D122" s="10"/>
      <c r="E122" s="10"/>
      <c r="F122" s="21"/>
      <c r="G122" s="17"/>
      <c r="H122" s="11"/>
      <c r="I122" s="17"/>
      <c r="J122" s="5"/>
      <c r="K122" s="5"/>
      <c r="L122" s="5"/>
      <c r="M122" s="5"/>
      <c r="N122" s="5"/>
      <c r="O122" s="5"/>
      <c r="P122" s="5"/>
      <c r="Q122" s="5"/>
      <c r="R122" s="5"/>
      <c r="S122" s="5"/>
      <c r="T122" s="5"/>
      <c r="U122" s="5"/>
      <c r="V122" s="5"/>
      <c r="W122" s="5"/>
      <c r="X122" s="5"/>
      <c r="Y122" s="5"/>
      <c r="Z122" s="5"/>
      <c r="AA122" s="5"/>
      <c r="AB122" s="5"/>
    </row>
    <row r="123" spans="1:28" ht="20.25">
      <c r="A123" s="22" t="s">
        <v>98</v>
      </c>
      <c r="B123" s="19"/>
      <c r="C123" s="20"/>
      <c r="D123" s="10"/>
      <c r="E123" s="10"/>
      <c r="F123" s="21"/>
      <c r="G123" s="17"/>
      <c r="H123" s="11"/>
      <c r="I123" s="17"/>
      <c r="J123" s="5"/>
      <c r="K123" s="5"/>
      <c r="L123" s="5"/>
      <c r="M123" s="5"/>
      <c r="N123" s="5"/>
      <c r="O123" s="5"/>
      <c r="P123" s="5"/>
      <c r="Q123" s="5"/>
      <c r="R123" s="5"/>
      <c r="S123" s="5"/>
      <c r="T123" s="5"/>
      <c r="U123" s="5"/>
      <c r="V123" s="5"/>
      <c r="W123" s="5"/>
      <c r="X123" s="5"/>
      <c r="Y123" s="5"/>
      <c r="Z123" s="5"/>
      <c r="AA123" s="5"/>
      <c r="AB123" s="5"/>
    </row>
    <row r="124" spans="1:28" ht="20.25">
      <c r="A124" s="23" t="s">
        <v>99</v>
      </c>
      <c r="B124" s="14">
        <v>0.89422500000000005</v>
      </c>
      <c r="C124" s="15">
        <v>1.1889362500000002</v>
      </c>
      <c r="D124" s="16">
        <v>1.2883830625000003</v>
      </c>
      <c r="E124" s="64">
        <v>0.89</v>
      </c>
      <c r="F124" s="16">
        <f t="shared" ref="F124:F132" si="46">SUM(D124,G124,H124)</f>
        <v>1.3928022156250004</v>
      </c>
      <c r="G124" s="17">
        <f t="shared" ref="G124:G132" si="47">D124*0.05</f>
        <v>6.4419153125000017E-2</v>
      </c>
      <c r="H124" s="17">
        <v>0.04</v>
      </c>
      <c r="I124" s="17">
        <f t="shared" ref="I124:I132" si="48">F124-D124</f>
        <v>0.10441915312500005</v>
      </c>
      <c r="J124" s="5"/>
      <c r="K124" s="5"/>
      <c r="L124" s="5"/>
      <c r="M124" s="5"/>
      <c r="N124" s="5"/>
      <c r="O124" s="5"/>
      <c r="P124" s="5"/>
      <c r="Q124" s="5"/>
      <c r="R124" s="5"/>
      <c r="S124" s="5"/>
      <c r="T124" s="5"/>
      <c r="U124" s="5"/>
      <c r="V124" s="5"/>
      <c r="W124" s="5"/>
      <c r="X124" s="5"/>
      <c r="Y124" s="5"/>
      <c r="Z124" s="5"/>
      <c r="AA124" s="5"/>
      <c r="AB124" s="5"/>
    </row>
    <row r="125" spans="1:28" ht="20.25">
      <c r="A125" s="23" t="s">
        <v>100</v>
      </c>
      <c r="B125" s="14">
        <v>0.69422499999999998</v>
      </c>
      <c r="C125" s="15">
        <v>0.78893625000000012</v>
      </c>
      <c r="D125" s="16">
        <v>0.78838306250000012</v>
      </c>
      <c r="E125" s="64">
        <v>0.59</v>
      </c>
      <c r="F125" s="16">
        <f t="shared" si="46"/>
        <v>0.88780221562500006</v>
      </c>
      <c r="G125" s="17">
        <f t="shared" si="47"/>
        <v>3.9419153125000009E-2</v>
      </c>
      <c r="H125" s="17">
        <v>0.06</v>
      </c>
      <c r="I125" s="17">
        <f t="shared" si="48"/>
        <v>9.9419153124999937E-2</v>
      </c>
      <c r="J125" s="5"/>
      <c r="K125" s="5"/>
      <c r="L125" s="5"/>
      <c r="M125" s="5"/>
      <c r="N125" s="5"/>
      <c r="O125" s="5"/>
      <c r="P125" s="5"/>
      <c r="Q125" s="5"/>
      <c r="R125" s="5"/>
      <c r="S125" s="5"/>
      <c r="T125" s="5"/>
      <c r="U125" s="5"/>
      <c r="V125" s="5"/>
      <c r="W125" s="5"/>
      <c r="X125" s="5"/>
      <c r="Y125" s="5"/>
      <c r="Z125" s="5"/>
      <c r="AA125" s="5"/>
      <c r="AB125" s="5"/>
    </row>
    <row r="126" spans="1:28" ht="20.25">
      <c r="A126" s="23" t="s">
        <v>101</v>
      </c>
      <c r="B126" s="14">
        <v>0.49422500000000003</v>
      </c>
      <c r="C126" s="15">
        <v>0.58893625000000016</v>
      </c>
      <c r="D126" s="16">
        <v>0.58838306250000016</v>
      </c>
      <c r="E126" s="64">
        <v>0.59</v>
      </c>
      <c r="F126" s="16">
        <f t="shared" si="46"/>
        <v>0.6878022156250001</v>
      </c>
      <c r="G126" s="17">
        <f t="shared" si="47"/>
        <v>2.941915312500001E-2</v>
      </c>
      <c r="H126" s="17">
        <v>7.0000000000000007E-2</v>
      </c>
      <c r="I126" s="17">
        <f t="shared" si="48"/>
        <v>9.9419153124999937E-2</v>
      </c>
      <c r="J126" s="5"/>
      <c r="K126" s="5"/>
      <c r="L126" s="5"/>
      <c r="M126" s="5"/>
      <c r="N126" s="5"/>
      <c r="O126" s="5"/>
      <c r="P126" s="5"/>
      <c r="Q126" s="5"/>
      <c r="R126" s="5"/>
      <c r="S126" s="5"/>
      <c r="T126" s="5"/>
      <c r="U126" s="5"/>
      <c r="V126" s="5"/>
      <c r="W126" s="5"/>
      <c r="X126" s="5"/>
      <c r="Y126" s="5"/>
      <c r="Z126" s="5"/>
      <c r="AA126" s="5"/>
      <c r="AB126" s="5"/>
    </row>
    <row r="127" spans="1:28" ht="20.25">
      <c r="A127" s="23" t="s">
        <v>102</v>
      </c>
      <c r="B127" s="14">
        <v>0.49422500000000003</v>
      </c>
      <c r="C127" s="15">
        <v>0.58893625000000016</v>
      </c>
      <c r="D127" s="16">
        <v>0.58838306250000016</v>
      </c>
      <c r="E127" s="64">
        <v>0.59</v>
      </c>
      <c r="F127" s="16">
        <f t="shared" si="46"/>
        <v>0.6878022156250001</v>
      </c>
      <c r="G127" s="17">
        <f t="shared" si="47"/>
        <v>2.941915312500001E-2</v>
      </c>
      <c r="H127" s="17">
        <v>7.0000000000000007E-2</v>
      </c>
      <c r="I127" s="17">
        <f t="shared" si="48"/>
        <v>9.9419153124999937E-2</v>
      </c>
      <c r="J127" s="5"/>
      <c r="K127" s="5"/>
      <c r="L127" s="5"/>
      <c r="M127" s="5"/>
      <c r="N127" s="5"/>
      <c r="O127" s="5"/>
      <c r="P127" s="5"/>
      <c r="Q127" s="5"/>
      <c r="R127" s="5"/>
      <c r="S127" s="5"/>
      <c r="T127" s="5"/>
      <c r="U127" s="5"/>
      <c r="V127" s="5"/>
      <c r="W127" s="5"/>
      <c r="X127" s="5"/>
      <c r="Y127" s="5"/>
      <c r="Z127" s="5"/>
      <c r="AA127" s="5"/>
      <c r="AB127" s="5"/>
    </row>
    <row r="128" spans="1:28" ht="20.25">
      <c r="A128" s="23" t="s">
        <v>103</v>
      </c>
      <c r="B128" s="14">
        <v>0.79397499999999999</v>
      </c>
      <c r="C128" s="15">
        <v>0.89367375000000004</v>
      </c>
      <c r="D128" s="16">
        <v>0.88835743749999996</v>
      </c>
      <c r="E128" s="64">
        <v>1.89</v>
      </c>
      <c r="F128" s="16">
        <f t="shared" si="46"/>
        <v>0.99277530937500003</v>
      </c>
      <c r="G128" s="17">
        <f t="shared" si="47"/>
        <v>4.4417871875000001E-2</v>
      </c>
      <c r="H128" s="17">
        <v>0.06</v>
      </c>
      <c r="I128" s="17">
        <f t="shared" si="48"/>
        <v>0.10441787187500007</v>
      </c>
      <c r="J128" s="5"/>
      <c r="K128" s="5"/>
      <c r="L128" s="5"/>
      <c r="M128" s="5"/>
      <c r="N128" s="5"/>
      <c r="O128" s="5"/>
      <c r="P128" s="5"/>
      <c r="Q128" s="5"/>
      <c r="R128" s="5"/>
      <c r="S128" s="5"/>
      <c r="T128" s="5"/>
      <c r="U128" s="5"/>
      <c r="V128" s="5"/>
      <c r="W128" s="5"/>
      <c r="X128" s="5"/>
      <c r="Y128" s="5"/>
      <c r="Z128" s="5"/>
      <c r="AA128" s="5"/>
      <c r="AB128" s="5"/>
    </row>
    <row r="129" spans="1:28" ht="20.25">
      <c r="A129" s="23" t="s">
        <v>104</v>
      </c>
      <c r="B129" s="14">
        <v>0.49422500000000003</v>
      </c>
      <c r="C129" s="15">
        <v>0.58893625000000016</v>
      </c>
      <c r="D129" s="16">
        <v>0.58838306250000016</v>
      </c>
      <c r="E129" s="64">
        <v>0.59</v>
      </c>
      <c r="F129" s="16">
        <f t="shared" si="46"/>
        <v>0.6878022156250001</v>
      </c>
      <c r="G129" s="17">
        <f t="shared" si="47"/>
        <v>2.941915312500001E-2</v>
      </c>
      <c r="H129" s="17">
        <v>7.0000000000000007E-2</v>
      </c>
      <c r="I129" s="17">
        <f t="shared" si="48"/>
        <v>9.9419153124999937E-2</v>
      </c>
      <c r="J129" s="5"/>
      <c r="K129" s="5"/>
      <c r="L129" s="5"/>
      <c r="M129" s="5"/>
      <c r="N129" s="5"/>
      <c r="O129" s="5"/>
      <c r="P129" s="5"/>
      <c r="Q129" s="5"/>
      <c r="R129" s="5"/>
      <c r="S129" s="5"/>
      <c r="T129" s="5"/>
      <c r="U129" s="5"/>
      <c r="V129" s="5"/>
      <c r="W129" s="5"/>
      <c r="X129" s="5"/>
      <c r="Y129" s="5"/>
      <c r="Z129" s="5"/>
      <c r="AA129" s="5"/>
      <c r="AB129" s="5"/>
    </row>
    <row r="130" spans="1:28" ht="20.25">
      <c r="A130" s="23" t="s">
        <v>105</v>
      </c>
      <c r="B130" s="14">
        <v>0.49422500000000003</v>
      </c>
      <c r="C130" s="15">
        <v>0.58893625000000016</v>
      </c>
      <c r="D130" s="16">
        <v>0.58838306250000016</v>
      </c>
      <c r="E130" s="64">
        <v>0.59</v>
      </c>
      <c r="F130" s="16">
        <f t="shared" si="46"/>
        <v>0.6878022156250001</v>
      </c>
      <c r="G130" s="17">
        <f t="shared" si="47"/>
        <v>2.941915312500001E-2</v>
      </c>
      <c r="H130" s="17">
        <v>7.0000000000000007E-2</v>
      </c>
      <c r="I130" s="17">
        <f t="shared" si="48"/>
        <v>9.9419153124999937E-2</v>
      </c>
      <c r="J130" s="5"/>
      <c r="K130" s="5"/>
      <c r="L130" s="5"/>
      <c r="M130" s="5"/>
      <c r="N130" s="5"/>
      <c r="O130" s="5"/>
      <c r="P130" s="5"/>
      <c r="Q130" s="5"/>
      <c r="R130" s="5"/>
      <c r="S130" s="5"/>
      <c r="T130" s="5"/>
      <c r="U130" s="5"/>
      <c r="V130" s="5"/>
      <c r="W130" s="5"/>
      <c r="X130" s="5"/>
      <c r="Y130" s="5"/>
      <c r="Z130" s="5"/>
      <c r="AA130" s="5"/>
      <c r="AB130" s="5"/>
    </row>
    <row r="131" spans="1:28" ht="20.25">
      <c r="A131" s="23" t="s">
        <v>106</v>
      </c>
      <c r="B131" s="14">
        <v>0.69422499999999998</v>
      </c>
      <c r="C131" s="15">
        <v>0.78893625000000012</v>
      </c>
      <c r="D131" s="16">
        <v>0.78838306250000012</v>
      </c>
      <c r="E131" s="64">
        <v>0.89</v>
      </c>
      <c r="F131" s="16">
        <f t="shared" si="46"/>
        <v>0.88780221562500006</v>
      </c>
      <c r="G131" s="17">
        <f t="shared" si="47"/>
        <v>3.9419153125000009E-2</v>
      </c>
      <c r="H131" s="17">
        <v>0.06</v>
      </c>
      <c r="I131" s="17">
        <f t="shared" si="48"/>
        <v>9.9419153124999937E-2</v>
      </c>
      <c r="J131" s="5"/>
      <c r="K131" s="5"/>
      <c r="L131" s="5"/>
      <c r="M131" s="5"/>
      <c r="N131" s="5"/>
      <c r="O131" s="5"/>
      <c r="P131" s="5"/>
      <c r="Q131" s="5"/>
      <c r="R131" s="5"/>
      <c r="S131" s="5"/>
      <c r="T131" s="5"/>
      <c r="U131" s="5"/>
      <c r="V131" s="5"/>
      <c r="W131" s="5"/>
      <c r="X131" s="5"/>
      <c r="Y131" s="5"/>
      <c r="Z131" s="5"/>
      <c r="AA131" s="5"/>
      <c r="AB131" s="5"/>
    </row>
    <row r="132" spans="1:28" ht="20.25">
      <c r="A132" s="23" t="s">
        <v>107</v>
      </c>
      <c r="B132" s="14">
        <v>0.69422499999999998</v>
      </c>
      <c r="C132" s="15">
        <v>0.78893625000000012</v>
      </c>
      <c r="D132" s="16">
        <v>0.78838306250000012</v>
      </c>
      <c r="E132" s="64">
        <v>0.89</v>
      </c>
      <c r="F132" s="16">
        <f t="shared" si="46"/>
        <v>0.88780221562500006</v>
      </c>
      <c r="G132" s="17">
        <f t="shared" si="47"/>
        <v>3.9419153125000009E-2</v>
      </c>
      <c r="H132" s="17">
        <v>0.06</v>
      </c>
      <c r="I132" s="17">
        <f t="shared" si="48"/>
        <v>9.9419153124999937E-2</v>
      </c>
      <c r="J132" s="5"/>
      <c r="K132" s="5"/>
      <c r="L132" s="5"/>
      <c r="M132" s="5"/>
      <c r="N132" s="5"/>
      <c r="O132" s="5"/>
      <c r="P132" s="5"/>
      <c r="Q132" s="5"/>
      <c r="R132" s="5"/>
      <c r="S132" s="5"/>
      <c r="T132" s="5"/>
      <c r="U132" s="5"/>
      <c r="V132" s="5"/>
      <c r="W132" s="5"/>
      <c r="X132" s="5"/>
      <c r="Y132" s="5"/>
      <c r="Z132" s="5"/>
      <c r="AA132" s="5"/>
      <c r="AB132" s="5"/>
    </row>
    <row r="133" spans="1:28" ht="20.25">
      <c r="A133" s="24"/>
      <c r="B133" s="19"/>
      <c r="C133" s="20"/>
      <c r="D133" s="10"/>
      <c r="E133" s="10"/>
      <c r="F133" s="25"/>
      <c r="G133" s="17"/>
      <c r="H133" s="11"/>
      <c r="I133" s="17"/>
      <c r="J133" s="5"/>
      <c r="K133" s="5"/>
      <c r="L133" s="5"/>
      <c r="M133" s="5"/>
      <c r="N133" s="5"/>
      <c r="O133" s="5"/>
      <c r="P133" s="5"/>
      <c r="Q133" s="5"/>
      <c r="R133" s="5"/>
      <c r="S133" s="5"/>
      <c r="T133" s="5"/>
      <c r="U133" s="5"/>
      <c r="V133" s="5"/>
      <c r="W133" s="5"/>
      <c r="X133" s="5"/>
      <c r="Y133" s="5"/>
      <c r="Z133" s="5"/>
      <c r="AA133" s="5"/>
      <c r="AB133" s="5"/>
    </row>
    <row r="134" spans="1:28" ht="20.25">
      <c r="A134" s="22" t="s">
        <v>108</v>
      </c>
      <c r="B134" s="19"/>
      <c r="C134" s="20"/>
      <c r="D134" s="10"/>
      <c r="E134" s="10"/>
      <c r="F134" s="25"/>
      <c r="G134" s="17"/>
      <c r="H134" s="11"/>
      <c r="I134" s="17"/>
      <c r="J134" s="5"/>
      <c r="K134" s="5"/>
      <c r="L134" s="5"/>
      <c r="M134" s="5"/>
      <c r="N134" s="5"/>
      <c r="O134" s="5"/>
      <c r="P134" s="5"/>
      <c r="Q134" s="5"/>
      <c r="R134" s="5"/>
      <c r="S134" s="5"/>
      <c r="T134" s="5"/>
      <c r="U134" s="5"/>
      <c r="V134" s="5"/>
      <c r="W134" s="5"/>
      <c r="X134" s="5"/>
      <c r="Y134" s="5"/>
      <c r="Z134" s="5"/>
      <c r="AA134" s="5"/>
      <c r="AB134" s="5"/>
    </row>
    <row r="135" spans="1:28" ht="20.25">
      <c r="A135" s="23" t="s">
        <v>109</v>
      </c>
      <c r="B135" s="14">
        <v>1.9939750000000001</v>
      </c>
      <c r="C135" s="15">
        <v>2.9936737500000001</v>
      </c>
      <c r="D135" s="16">
        <v>3.0933574375000004</v>
      </c>
      <c r="E135" s="64">
        <v>1.79</v>
      </c>
      <c r="F135" s="16">
        <f t="shared" ref="F135:F143" si="49">SUM(D135,G135,H135)</f>
        <v>3.2880253093750005</v>
      </c>
      <c r="G135" s="17">
        <f t="shared" ref="G135:G143" si="50">D135*0.05</f>
        <v>0.15466787187500003</v>
      </c>
      <c r="H135" s="17">
        <v>0.04</v>
      </c>
      <c r="I135" s="17">
        <f t="shared" ref="I135:I143" si="51">F135-D135</f>
        <v>0.19466787187500012</v>
      </c>
      <c r="J135" s="5"/>
      <c r="K135" s="5"/>
      <c r="L135" s="5"/>
      <c r="M135" s="5"/>
      <c r="N135" s="5"/>
      <c r="O135" s="5"/>
      <c r="P135" s="5"/>
      <c r="Q135" s="5"/>
      <c r="R135" s="5"/>
      <c r="S135" s="5"/>
      <c r="T135" s="5"/>
      <c r="U135" s="5"/>
      <c r="V135" s="5"/>
      <c r="W135" s="5"/>
      <c r="X135" s="5"/>
      <c r="Y135" s="5"/>
      <c r="Z135" s="5"/>
      <c r="AA135" s="5"/>
      <c r="AB135" s="5"/>
    </row>
    <row r="136" spans="1:28" ht="20.25">
      <c r="A136" s="23" t="s">
        <v>110</v>
      </c>
      <c r="B136" s="14">
        <v>1.193975</v>
      </c>
      <c r="C136" s="15">
        <v>1.2936737500000002</v>
      </c>
      <c r="D136" s="16">
        <v>1.3883574375000003</v>
      </c>
      <c r="E136" s="64">
        <v>1.79</v>
      </c>
      <c r="F136" s="16">
        <f t="shared" si="49"/>
        <v>1.4877753093750004</v>
      </c>
      <c r="G136" s="17">
        <f t="shared" si="50"/>
        <v>6.9417871875000023E-2</v>
      </c>
      <c r="H136" s="17">
        <v>0.03</v>
      </c>
      <c r="I136" s="17">
        <f t="shared" si="51"/>
        <v>9.9417871875000063E-2</v>
      </c>
      <c r="J136" s="5"/>
      <c r="K136" s="5"/>
      <c r="L136" s="5"/>
      <c r="M136" s="5"/>
      <c r="N136" s="5"/>
      <c r="O136" s="5"/>
      <c r="P136" s="5"/>
      <c r="Q136" s="5"/>
      <c r="R136" s="5"/>
      <c r="S136" s="5"/>
      <c r="T136" s="5"/>
      <c r="U136" s="5"/>
      <c r="V136" s="5"/>
      <c r="W136" s="5"/>
      <c r="X136" s="5"/>
      <c r="Y136" s="5"/>
      <c r="Z136" s="5"/>
      <c r="AA136" s="5"/>
      <c r="AB136" s="5"/>
    </row>
    <row r="137" spans="1:28" ht="20.25">
      <c r="A137" s="23" t="s">
        <v>111</v>
      </c>
      <c r="B137" s="14">
        <v>1.193975</v>
      </c>
      <c r="C137" s="15">
        <v>1.2936737500000002</v>
      </c>
      <c r="D137" s="16">
        <v>1.3883574375000003</v>
      </c>
      <c r="E137" s="64">
        <v>1.79</v>
      </c>
      <c r="F137" s="16">
        <f t="shared" si="49"/>
        <v>1.4877753093750004</v>
      </c>
      <c r="G137" s="17">
        <f t="shared" si="50"/>
        <v>6.9417871875000023E-2</v>
      </c>
      <c r="H137" s="17">
        <v>0.03</v>
      </c>
      <c r="I137" s="17">
        <f t="shared" si="51"/>
        <v>9.9417871875000063E-2</v>
      </c>
      <c r="J137" s="5"/>
      <c r="K137" s="5"/>
      <c r="L137" s="5"/>
      <c r="M137" s="5"/>
      <c r="N137" s="5"/>
      <c r="O137" s="5"/>
      <c r="P137" s="5"/>
      <c r="Q137" s="5"/>
      <c r="R137" s="5"/>
      <c r="S137" s="5"/>
      <c r="T137" s="5"/>
      <c r="U137" s="5"/>
      <c r="V137" s="5"/>
      <c r="W137" s="5"/>
      <c r="X137" s="5"/>
      <c r="Y137" s="5"/>
      <c r="Z137" s="5"/>
      <c r="AA137" s="5"/>
      <c r="AB137" s="5"/>
    </row>
    <row r="138" spans="1:28" ht="20.25">
      <c r="A138" s="23" t="s">
        <v>112</v>
      </c>
      <c r="B138" s="14">
        <v>0.89422500000000005</v>
      </c>
      <c r="C138" s="15">
        <v>0.98893625000000018</v>
      </c>
      <c r="D138" s="16">
        <v>0.98838306250000008</v>
      </c>
      <c r="E138" s="64">
        <v>1.49</v>
      </c>
      <c r="F138" s="16">
        <f t="shared" si="49"/>
        <v>0.98780221562500015</v>
      </c>
      <c r="G138" s="17">
        <f t="shared" si="50"/>
        <v>4.9419153125000004E-2</v>
      </c>
      <c r="H138" s="17">
        <v>-0.05</v>
      </c>
      <c r="I138" s="17">
        <f t="shared" si="51"/>
        <v>-5.808468749999296E-4</v>
      </c>
      <c r="J138" s="5"/>
      <c r="K138" s="5"/>
      <c r="L138" s="5"/>
      <c r="M138" s="5"/>
      <c r="N138" s="5"/>
      <c r="O138" s="5"/>
      <c r="P138" s="5"/>
      <c r="Q138" s="5"/>
      <c r="R138" s="5"/>
      <c r="S138" s="5"/>
      <c r="T138" s="5"/>
      <c r="U138" s="5"/>
      <c r="V138" s="5"/>
      <c r="W138" s="5"/>
      <c r="X138" s="5"/>
      <c r="Y138" s="5"/>
      <c r="Z138" s="5"/>
      <c r="AA138" s="5"/>
      <c r="AB138" s="5"/>
    </row>
    <row r="139" spans="1:28" ht="20.25">
      <c r="A139" s="23" t="s">
        <v>113</v>
      </c>
      <c r="B139" s="14">
        <v>3.588975</v>
      </c>
      <c r="C139" s="15">
        <v>3.7884237500000002</v>
      </c>
      <c r="D139" s="16">
        <v>3.9878449375000002</v>
      </c>
      <c r="E139" s="64">
        <v>5.19</v>
      </c>
      <c r="F139" s="16">
        <f t="shared" si="49"/>
        <v>4.1872371843750003</v>
      </c>
      <c r="G139" s="17">
        <f t="shared" si="50"/>
        <v>0.19939224687500001</v>
      </c>
      <c r="H139" s="17">
        <v>0</v>
      </c>
      <c r="I139" s="17">
        <f t="shared" si="51"/>
        <v>0.19939224687500001</v>
      </c>
      <c r="J139" s="5"/>
      <c r="K139" s="5"/>
      <c r="L139" s="5"/>
      <c r="M139" s="5"/>
      <c r="N139" s="5"/>
      <c r="O139" s="5"/>
      <c r="P139" s="5"/>
      <c r="Q139" s="5"/>
      <c r="R139" s="5"/>
      <c r="S139" s="5"/>
      <c r="T139" s="5"/>
      <c r="U139" s="5"/>
      <c r="V139" s="5"/>
      <c r="W139" s="5"/>
      <c r="X139" s="5"/>
      <c r="Y139" s="5"/>
      <c r="Z139" s="5"/>
      <c r="AA139" s="5"/>
      <c r="AB139" s="5"/>
    </row>
    <row r="140" spans="1:28" ht="20.25">
      <c r="A140" s="23" t="s">
        <v>114</v>
      </c>
      <c r="B140" s="14">
        <v>1.193975</v>
      </c>
      <c r="C140" s="15">
        <v>1.2936737500000002</v>
      </c>
      <c r="D140" s="16">
        <v>1.3883574375000003</v>
      </c>
      <c r="E140" s="64">
        <v>1.79</v>
      </c>
      <c r="F140" s="16">
        <f t="shared" si="49"/>
        <v>1.4877753093750004</v>
      </c>
      <c r="G140" s="17">
        <f t="shared" si="50"/>
        <v>6.9417871875000023E-2</v>
      </c>
      <c r="H140" s="17">
        <v>0.03</v>
      </c>
      <c r="I140" s="17">
        <f t="shared" si="51"/>
        <v>9.9417871875000063E-2</v>
      </c>
      <c r="J140" s="5"/>
      <c r="K140" s="5"/>
      <c r="L140" s="5"/>
      <c r="M140" s="5"/>
      <c r="N140" s="5"/>
      <c r="O140" s="5"/>
      <c r="P140" s="5"/>
      <c r="Q140" s="5"/>
      <c r="R140" s="5"/>
      <c r="S140" s="5"/>
      <c r="T140" s="5"/>
      <c r="U140" s="5"/>
      <c r="V140" s="5"/>
      <c r="W140" s="5"/>
      <c r="X140" s="5"/>
      <c r="Y140" s="5"/>
      <c r="Z140" s="5"/>
      <c r="AA140" s="5"/>
      <c r="AB140" s="5"/>
    </row>
    <row r="141" spans="1:28" s="60" customFormat="1" ht="20.25">
      <c r="A141" s="49" t="s">
        <v>115</v>
      </c>
      <c r="B141" s="50">
        <v>1.193975</v>
      </c>
      <c r="C141" s="51">
        <v>1.2936737500000002</v>
      </c>
      <c r="D141" s="52">
        <v>1.3883574375000003</v>
      </c>
      <c r="E141" s="52"/>
      <c r="F141" s="52">
        <f t="shared" si="49"/>
        <v>1.4877753093750004</v>
      </c>
      <c r="G141" s="53">
        <f t="shared" si="50"/>
        <v>6.9417871875000023E-2</v>
      </c>
      <c r="H141" s="53">
        <v>0.03</v>
      </c>
      <c r="I141" s="53">
        <f t="shared" si="51"/>
        <v>9.9417871875000063E-2</v>
      </c>
      <c r="J141" s="59"/>
      <c r="K141" s="59"/>
      <c r="L141" s="59"/>
      <c r="M141" s="59"/>
      <c r="N141" s="59"/>
      <c r="O141" s="59"/>
      <c r="P141" s="59"/>
      <c r="Q141" s="59"/>
      <c r="R141" s="59"/>
      <c r="S141" s="59"/>
      <c r="T141" s="59"/>
      <c r="U141" s="59"/>
      <c r="V141" s="59"/>
      <c r="W141" s="59"/>
      <c r="X141" s="59"/>
      <c r="Y141" s="59"/>
      <c r="Z141" s="59"/>
      <c r="AA141" s="59"/>
      <c r="AB141" s="59"/>
    </row>
    <row r="142" spans="1:28" ht="20.25">
      <c r="A142" s="23" t="s">
        <v>116</v>
      </c>
      <c r="B142" s="14">
        <v>1.193975</v>
      </c>
      <c r="C142" s="15">
        <v>1.2936737500000002</v>
      </c>
      <c r="D142" s="16">
        <v>1.3883574375000003</v>
      </c>
      <c r="E142" s="64">
        <v>1.79</v>
      </c>
      <c r="F142" s="16">
        <f t="shared" si="49"/>
        <v>1.4877753093750004</v>
      </c>
      <c r="G142" s="17">
        <f t="shared" si="50"/>
        <v>6.9417871875000023E-2</v>
      </c>
      <c r="H142" s="17">
        <v>0.03</v>
      </c>
      <c r="I142" s="17">
        <f t="shared" si="51"/>
        <v>9.9417871875000063E-2</v>
      </c>
      <c r="J142" s="5"/>
      <c r="K142" s="5"/>
      <c r="L142" s="5"/>
      <c r="M142" s="5"/>
      <c r="N142" s="5"/>
      <c r="O142" s="5"/>
      <c r="P142" s="5"/>
      <c r="Q142" s="5"/>
      <c r="R142" s="5"/>
      <c r="S142" s="5"/>
      <c r="T142" s="5"/>
      <c r="U142" s="5"/>
      <c r="V142" s="5"/>
      <c r="W142" s="5"/>
      <c r="X142" s="5"/>
      <c r="Y142" s="5"/>
      <c r="Z142" s="5"/>
      <c r="AA142" s="5"/>
      <c r="AB142" s="5"/>
    </row>
    <row r="143" spans="1:28" ht="20.25">
      <c r="A143" s="23" t="s">
        <v>117</v>
      </c>
      <c r="B143" s="14">
        <v>1.193975</v>
      </c>
      <c r="C143" s="15">
        <v>1.2936737500000002</v>
      </c>
      <c r="D143" s="16">
        <v>1.3883574375000003</v>
      </c>
      <c r="E143" s="64">
        <v>1.79</v>
      </c>
      <c r="F143" s="16">
        <f t="shared" si="49"/>
        <v>1.4877753093750004</v>
      </c>
      <c r="G143" s="17">
        <f t="shared" si="50"/>
        <v>6.9417871875000023E-2</v>
      </c>
      <c r="H143" s="17">
        <v>0.03</v>
      </c>
      <c r="I143" s="17">
        <f t="shared" si="51"/>
        <v>9.9417871875000063E-2</v>
      </c>
      <c r="J143" s="5"/>
      <c r="K143" s="5"/>
      <c r="L143" s="5"/>
      <c r="M143" s="5"/>
      <c r="N143" s="5"/>
      <c r="O143" s="5"/>
      <c r="P143" s="5"/>
      <c r="Q143" s="5"/>
      <c r="R143" s="5"/>
      <c r="S143" s="5"/>
      <c r="T143" s="5"/>
      <c r="U143" s="5"/>
      <c r="V143" s="5"/>
      <c r="W143" s="5"/>
      <c r="X143" s="5"/>
      <c r="Y143" s="5"/>
      <c r="Z143" s="5"/>
      <c r="AA143" s="5"/>
      <c r="AB143" s="5"/>
    </row>
    <row r="144" spans="1:28">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c r="AA144" s="5"/>
      <c r="AB144" s="5"/>
    </row>
    <row r="145" spans="1:28">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c r="AA145" s="5"/>
      <c r="AB145" s="5"/>
    </row>
    <row r="146" spans="1:28">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c r="AA146" s="5"/>
      <c r="AB146" s="5"/>
    </row>
    <row r="147" spans="1:28">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c r="AA147" s="5"/>
      <c r="AB147" s="5"/>
    </row>
    <row r="148" spans="1:28">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c r="AA148" s="5"/>
      <c r="AB148" s="5"/>
    </row>
    <row r="149" spans="1:28">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c r="AA149" s="5"/>
      <c r="AB149" s="5"/>
    </row>
    <row r="150" spans="1:28">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c r="AB150" s="5"/>
    </row>
    <row r="151" spans="1:28">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c r="AA151" s="5"/>
      <c r="AB151" s="5"/>
    </row>
    <row r="152" spans="1:28">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c r="AA152" s="5"/>
      <c r="AB152" s="5"/>
    </row>
    <row r="153" spans="1:28">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c r="AA153" s="5"/>
      <c r="AB153" s="5"/>
    </row>
    <row r="154" spans="1:28">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c r="AA154" s="5"/>
      <c r="AB154" s="5"/>
    </row>
    <row r="155" spans="1:28">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c r="AB155" s="5"/>
    </row>
    <row r="156" spans="1:28">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c r="AA156" s="5"/>
      <c r="AB156" s="5"/>
    </row>
    <row r="157" spans="1:28">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c r="AA157" s="5"/>
      <c r="AB157" s="5"/>
    </row>
    <row r="158" spans="1:28">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c r="AA158" s="5"/>
      <c r="AB158" s="5"/>
    </row>
    <row r="159" spans="1:28">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c r="AA159" s="5"/>
      <c r="AB159" s="5"/>
    </row>
    <row r="160" spans="1:28">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c r="AA160" s="5"/>
      <c r="AB160" s="5"/>
    </row>
    <row r="161" spans="1:28">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c r="AA161" s="5"/>
      <c r="AB161" s="5"/>
    </row>
    <row r="162" spans="1:28">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c r="AA162" s="5"/>
      <c r="AB162" s="5"/>
    </row>
    <row r="163" spans="1:28">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c r="AA163" s="5"/>
      <c r="AB163" s="5"/>
    </row>
    <row r="164" spans="1:28">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c r="AB164" s="5"/>
    </row>
    <row r="165" spans="1:28">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c r="AA165" s="5"/>
      <c r="AB165" s="5"/>
    </row>
    <row r="166" spans="1:28">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c r="AA166" s="5"/>
      <c r="AB166" s="5"/>
    </row>
    <row r="167" spans="1:28">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c r="AA167" s="5"/>
      <c r="AB167" s="5"/>
    </row>
    <row r="168" spans="1:28">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c r="AA168" s="5"/>
      <c r="AB168" s="5"/>
    </row>
    <row r="169" spans="1:28">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c r="AA169" s="5"/>
      <c r="AB169" s="5"/>
    </row>
    <row r="170" spans="1:28">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c r="AA170" s="5"/>
      <c r="AB170" s="5"/>
    </row>
    <row r="171" spans="1:28">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c r="AA171" s="5"/>
      <c r="AB171" s="5"/>
    </row>
    <row r="172" spans="1:28">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5"/>
      <c r="AB172" s="5"/>
    </row>
    <row r="173" spans="1:28">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c r="AA173" s="5"/>
      <c r="AB173" s="5"/>
    </row>
    <row r="174" spans="1:28">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c r="AA174" s="5"/>
      <c r="AB174" s="5"/>
    </row>
    <row r="175" spans="1:28">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c r="AA175" s="5"/>
      <c r="AB175" s="5"/>
    </row>
    <row r="176" spans="1:28">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c r="AA176" s="5"/>
      <c r="AB176" s="5"/>
    </row>
    <row r="177" spans="1:28">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c r="AA177" s="5"/>
      <c r="AB177" s="5"/>
    </row>
    <row r="178" spans="1:28">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c r="AA178" s="5"/>
      <c r="AB178" s="5"/>
    </row>
    <row r="179" spans="1:28">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c r="AA179" s="5"/>
      <c r="AB179" s="5"/>
    </row>
    <row r="180" spans="1:28">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c r="AA180" s="5"/>
      <c r="AB180" s="5"/>
    </row>
    <row r="181" spans="1:28">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c r="AA181" s="5"/>
      <c r="AB181" s="5"/>
    </row>
    <row r="182" spans="1:28">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c r="AA182" s="5"/>
      <c r="AB182" s="5"/>
    </row>
    <row r="183" spans="1:28">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c r="AA183" s="5"/>
      <c r="AB183" s="5"/>
    </row>
    <row r="184" spans="1:28">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c r="AA184" s="5"/>
      <c r="AB184" s="5"/>
    </row>
    <row r="185" spans="1:28">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c r="AA185" s="5"/>
      <c r="AB185" s="5"/>
    </row>
    <row r="186" spans="1:28">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c r="AA186" s="5"/>
      <c r="AB186" s="5"/>
    </row>
    <row r="187" spans="1:28">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c r="AA187" s="5"/>
      <c r="AB187" s="5"/>
    </row>
    <row r="188" spans="1:28">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c r="AB188" s="5"/>
    </row>
    <row r="189" spans="1:28">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c r="AA189" s="5"/>
      <c r="AB189" s="5"/>
    </row>
    <row r="190" spans="1:28">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c r="AA190" s="5"/>
      <c r="AB190" s="5"/>
    </row>
    <row r="191" spans="1:28">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c r="AA191" s="5"/>
      <c r="AB191" s="5"/>
    </row>
    <row r="192" spans="1:28">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c r="AA192" s="5"/>
      <c r="AB192" s="5"/>
    </row>
    <row r="193" spans="1:28">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c r="AA193" s="5"/>
      <c r="AB193" s="5"/>
    </row>
    <row r="194" spans="1:28">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c r="AA194" s="5"/>
      <c r="AB194" s="5"/>
    </row>
    <row r="195" spans="1:28">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c r="AA195" s="5"/>
      <c r="AB195" s="5"/>
    </row>
    <row r="196" spans="1:28">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c r="AA196" s="5"/>
      <c r="AB196" s="5"/>
    </row>
    <row r="197" spans="1:28">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c r="AA197" s="5"/>
      <c r="AB197" s="5"/>
    </row>
    <row r="198" spans="1:28">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c r="AA198" s="5"/>
      <c r="AB198" s="5"/>
    </row>
    <row r="199" spans="1:28">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c r="AB199" s="5"/>
    </row>
    <row r="200" spans="1:28">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c r="AA200" s="5"/>
      <c r="AB200" s="5"/>
    </row>
    <row r="201" spans="1:28">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c r="AA201" s="5"/>
      <c r="AB201" s="5"/>
    </row>
    <row r="202" spans="1:28">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c r="AA202" s="5"/>
      <c r="AB202" s="5"/>
    </row>
    <row r="203" spans="1:28">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c r="AA203" s="5"/>
      <c r="AB203" s="5"/>
    </row>
    <row r="204" spans="1:28">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c r="AA204" s="5"/>
      <c r="AB204" s="5"/>
    </row>
    <row r="205" spans="1:28">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c r="AA205" s="5"/>
      <c r="AB205" s="5"/>
    </row>
    <row r="206" spans="1:28">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c r="AA206" s="5"/>
      <c r="AB206" s="5"/>
    </row>
    <row r="207" spans="1:28">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c r="AA207" s="5"/>
      <c r="AB207" s="5"/>
    </row>
    <row r="208" spans="1:28">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c r="AA208" s="5"/>
      <c r="AB208" s="5"/>
    </row>
    <row r="209" spans="1:28">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c r="AA209" s="5"/>
      <c r="AB209" s="5"/>
    </row>
    <row r="210" spans="1:28">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c r="AA210" s="5"/>
      <c r="AB210" s="5"/>
    </row>
    <row r="211" spans="1:28">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c r="AA211" s="5"/>
      <c r="AB211" s="5"/>
    </row>
    <row r="212" spans="1:28">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c r="AA212" s="5"/>
      <c r="AB212" s="5"/>
    </row>
    <row r="213" spans="1:28">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c r="AA213" s="5"/>
      <c r="AB213" s="5"/>
    </row>
    <row r="214" spans="1:28">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c r="AB214" s="5"/>
    </row>
    <row r="215" spans="1:28">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c r="AB215" s="5"/>
    </row>
    <row r="216" spans="1:28">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c r="AA216" s="5"/>
      <c r="AB216" s="5"/>
    </row>
    <row r="217" spans="1:28">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c r="AA217" s="5"/>
      <c r="AB217" s="5"/>
    </row>
    <row r="218" spans="1:28">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c r="AA218" s="5"/>
      <c r="AB218" s="5"/>
    </row>
    <row r="219" spans="1:28">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c r="AA219" s="5"/>
      <c r="AB219" s="5"/>
    </row>
    <row r="220" spans="1:28">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c r="AA220" s="5"/>
      <c r="AB220" s="5"/>
    </row>
    <row r="221" spans="1:28">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c r="AA221" s="5"/>
      <c r="AB221" s="5"/>
    </row>
    <row r="222" spans="1:28">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c r="AA222" s="5"/>
      <c r="AB222" s="5"/>
    </row>
    <row r="223" spans="1:28">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c r="AA223" s="5"/>
      <c r="AB223" s="5"/>
    </row>
    <row r="224" spans="1:28">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c r="AA224" s="5"/>
      <c r="AB224" s="5"/>
    </row>
    <row r="225" spans="1:28">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c r="AA225" s="5"/>
      <c r="AB225" s="5"/>
    </row>
    <row r="226" spans="1:28">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c r="AA226" s="5"/>
      <c r="AB226" s="5"/>
    </row>
    <row r="227" spans="1:28">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c r="AA227" s="5"/>
      <c r="AB227" s="5"/>
    </row>
    <row r="228" spans="1:28">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c r="AA228" s="5"/>
      <c r="AB228" s="5"/>
    </row>
    <row r="229" spans="1:28">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c r="AA229" s="5"/>
      <c r="AB229" s="5"/>
    </row>
    <row r="230" spans="1:28">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c r="AA230" s="5"/>
      <c r="AB230" s="5"/>
    </row>
    <row r="231" spans="1:28">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c r="AB231" s="5"/>
    </row>
    <row r="232" spans="1:28">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c r="AA232" s="5"/>
      <c r="AB232" s="5"/>
    </row>
    <row r="233" spans="1:28">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c r="AA233" s="5"/>
      <c r="AB233" s="5"/>
    </row>
    <row r="234" spans="1:28">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c r="AA234" s="5"/>
      <c r="AB234" s="5"/>
    </row>
    <row r="235" spans="1:28">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c r="AA235" s="5"/>
      <c r="AB235" s="5"/>
    </row>
    <row r="236" spans="1:28">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c r="AA236" s="5"/>
      <c r="AB236" s="5"/>
    </row>
    <row r="237" spans="1:28">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c r="AA237" s="5"/>
      <c r="AB237" s="5"/>
    </row>
    <row r="238" spans="1:28">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c r="AA238" s="5"/>
      <c r="AB238" s="5"/>
    </row>
    <row r="239" spans="1:28">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c r="AA239" s="5"/>
      <c r="AB239" s="5"/>
    </row>
    <row r="240" spans="1:28">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c r="AA240" s="5"/>
      <c r="AB240" s="5"/>
    </row>
    <row r="241" spans="1:28">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c r="AA241" s="5"/>
      <c r="AB241" s="5"/>
    </row>
    <row r="242" spans="1:28">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c r="AA242" s="5"/>
      <c r="AB242" s="5"/>
    </row>
    <row r="243" spans="1:28">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c r="AA243" s="5"/>
      <c r="AB243" s="5"/>
    </row>
    <row r="244" spans="1:28">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c r="AA244" s="5"/>
      <c r="AB244" s="5"/>
    </row>
    <row r="245" spans="1:28">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c r="AA245" s="5"/>
      <c r="AB245" s="5"/>
    </row>
    <row r="246" spans="1:28">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c r="AA246" s="5"/>
      <c r="AB246" s="5"/>
    </row>
    <row r="247" spans="1:28">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c r="AB247" s="5"/>
    </row>
    <row r="248" spans="1:28">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c r="AA248" s="5"/>
      <c r="AB248" s="5"/>
    </row>
    <row r="249" spans="1:28">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c r="AA249" s="5"/>
      <c r="AB249" s="5"/>
    </row>
    <row r="250" spans="1:28">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c r="AA250" s="5"/>
      <c r="AB250" s="5"/>
    </row>
    <row r="251" spans="1:28">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c r="AA251" s="5"/>
      <c r="AB251" s="5"/>
    </row>
    <row r="252" spans="1:28">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c r="AA252" s="5"/>
      <c r="AB252" s="5"/>
    </row>
    <row r="253" spans="1:28">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c r="AA253" s="5"/>
      <c r="AB253" s="5"/>
    </row>
    <row r="254" spans="1:28">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c r="AA254" s="5"/>
      <c r="AB254" s="5"/>
    </row>
    <row r="255" spans="1:28">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c r="AA255" s="5"/>
      <c r="AB255" s="5"/>
    </row>
    <row r="256" spans="1:28">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c r="AA256" s="5"/>
      <c r="AB256" s="5"/>
    </row>
    <row r="257" spans="1:28">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5"/>
      <c r="AB257" s="5"/>
    </row>
    <row r="258" spans="1:28">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c r="AB258" s="5"/>
    </row>
    <row r="259" spans="1:28">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c r="AA259" s="5"/>
      <c r="AB259" s="5"/>
    </row>
    <row r="260" spans="1:28">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c r="AA260" s="5"/>
      <c r="AB260" s="5"/>
    </row>
    <row r="261" spans="1:28">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c r="AA261" s="5"/>
      <c r="AB261" s="5"/>
    </row>
    <row r="262" spans="1:28">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c r="AA262" s="5"/>
      <c r="AB262" s="5"/>
    </row>
    <row r="263" spans="1:28">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c r="AA263" s="5"/>
      <c r="AB263" s="5"/>
    </row>
    <row r="264" spans="1:28">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c r="AA264" s="5"/>
      <c r="AB264" s="5"/>
    </row>
    <row r="265" spans="1:28">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c r="AA265" s="5"/>
      <c r="AB265" s="5"/>
    </row>
    <row r="266" spans="1:28">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c r="AA266" s="5"/>
      <c r="AB266" s="5"/>
    </row>
    <row r="267" spans="1:28">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c r="AA267" s="5"/>
      <c r="AB267" s="5"/>
    </row>
    <row r="268" spans="1:28">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c r="AB268" s="5"/>
    </row>
    <row r="269" spans="1:28">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c r="AA269" s="5"/>
      <c r="AB269" s="5"/>
    </row>
    <row r="270" spans="1:28">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c r="AA270" s="5"/>
      <c r="AB270" s="5"/>
    </row>
    <row r="271" spans="1:28">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c r="AA271" s="5"/>
      <c r="AB271" s="5"/>
    </row>
    <row r="272" spans="1:28">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c r="AA272" s="5"/>
      <c r="AB272" s="5"/>
    </row>
    <row r="273" spans="1:28">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c r="AA273" s="5"/>
      <c r="AB273" s="5"/>
    </row>
    <row r="274" spans="1:28">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c r="AA274" s="5"/>
      <c r="AB274" s="5"/>
    </row>
    <row r="275" spans="1:28">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c r="AA275" s="5"/>
      <c r="AB275" s="5"/>
    </row>
    <row r="276" spans="1:28">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c r="AA276" s="5"/>
      <c r="AB276" s="5"/>
    </row>
    <row r="277" spans="1:28">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c r="AA277" s="5"/>
      <c r="AB277" s="5"/>
    </row>
    <row r="278" spans="1:28">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c r="AB278" s="5"/>
    </row>
    <row r="279" spans="1:28">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c r="AA279" s="5"/>
      <c r="AB279" s="5"/>
    </row>
    <row r="280" spans="1:28">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c r="AA280" s="5"/>
      <c r="AB280" s="5"/>
    </row>
    <row r="281" spans="1:28">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c r="AA281" s="5"/>
      <c r="AB281" s="5"/>
    </row>
    <row r="282" spans="1:28">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c r="AA282" s="5"/>
      <c r="AB282" s="5"/>
    </row>
    <row r="283" spans="1:28">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c r="AA283" s="5"/>
      <c r="AB283" s="5"/>
    </row>
    <row r="284" spans="1:28">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c r="AA284" s="5"/>
      <c r="AB284" s="5"/>
    </row>
    <row r="285" spans="1:28">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c r="AA285" s="5"/>
      <c r="AB285" s="5"/>
    </row>
    <row r="286" spans="1:28">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c r="AA286" s="5"/>
      <c r="AB286" s="5"/>
    </row>
    <row r="287" spans="1:28">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c r="AA287" s="5"/>
      <c r="AB287" s="5"/>
    </row>
    <row r="288" spans="1:28">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c r="AA288" s="5"/>
      <c r="AB288" s="5"/>
    </row>
    <row r="289" spans="1:28">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c r="AA289" s="5"/>
      <c r="AB289" s="5"/>
    </row>
    <row r="290" spans="1:28">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c r="AA290" s="5"/>
      <c r="AB290" s="5"/>
    </row>
    <row r="291" spans="1:28">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c r="AA291" s="5"/>
      <c r="AB291" s="5"/>
    </row>
    <row r="292" spans="1:28">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c r="AA292" s="5"/>
      <c r="AB292" s="5"/>
    </row>
    <row r="293" spans="1:28">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c r="AA293" s="5"/>
      <c r="AB293" s="5"/>
    </row>
    <row r="294" spans="1:28">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c r="AA294" s="5"/>
      <c r="AB294" s="5"/>
    </row>
    <row r="295" spans="1:28">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c r="AA295" s="5"/>
      <c r="AB295" s="5"/>
    </row>
    <row r="296" spans="1:28">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c r="AA296" s="5"/>
      <c r="AB296" s="5"/>
    </row>
    <row r="297" spans="1:28">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c r="AA297" s="5"/>
      <c r="AB297" s="5"/>
    </row>
    <row r="298" spans="1:28">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c r="AA298" s="5"/>
      <c r="AB298" s="5"/>
    </row>
    <row r="299" spans="1:28">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c r="AA299" s="5"/>
      <c r="AB299" s="5"/>
    </row>
    <row r="300" spans="1:28">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c r="AA300" s="5"/>
      <c r="AB300" s="5"/>
    </row>
    <row r="301" spans="1:28">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c r="AA301" s="5"/>
      <c r="AB301" s="5"/>
    </row>
    <row r="302" spans="1:28">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c r="AA302" s="5"/>
      <c r="AB302" s="5"/>
    </row>
    <row r="303" spans="1:28">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c r="AA303" s="5"/>
      <c r="AB303" s="5"/>
    </row>
    <row r="304" spans="1:28">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c r="AA304" s="5"/>
      <c r="AB304" s="5"/>
    </row>
    <row r="305" spans="1:28">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c r="AA305" s="5"/>
      <c r="AB305" s="5"/>
    </row>
    <row r="306" spans="1:28">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c r="AA306" s="5"/>
      <c r="AB306" s="5"/>
    </row>
    <row r="307" spans="1:28">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c r="AA307" s="5"/>
      <c r="AB307" s="5"/>
    </row>
    <row r="308" spans="1:28">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c r="AA308" s="5"/>
      <c r="AB308" s="5"/>
    </row>
    <row r="309" spans="1:28">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c r="AA309" s="5"/>
      <c r="AB309" s="5"/>
    </row>
    <row r="310" spans="1:28">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c r="AA310" s="5"/>
      <c r="AB310" s="5"/>
    </row>
    <row r="311" spans="1:28">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c r="AA311" s="5"/>
      <c r="AB311" s="5"/>
    </row>
    <row r="312" spans="1:28">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c r="AA312" s="5"/>
      <c r="AB312" s="5"/>
    </row>
    <row r="313" spans="1:28">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c r="AA313" s="5"/>
      <c r="AB313" s="5"/>
    </row>
    <row r="314" spans="1:28">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c r="AA314" s="5"/>
      <c r="AB314" s="5"/>
    </row>
    <row r="315" spans="1:28">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c r="AA315" s="5"/>
      <c r="AB315" s="5"/>
    </row>
    <row r="316" spans="1:28">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c r="AA316" s="5"/>
      <c r="AB316" s="5"/>
    </row>
    <row r="317" spans="1:28">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c r="AA317" s="5"/>
      <c r="AB317" s="5"/>
    </row>
    <row r="318" spans="1:28">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c r="AA318" s="5"/>
      <c r="AB318" s="5"/>
    </row>
    <row r="319" spans="1:28">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c r="AA319" s="5"/>
      <c r="AB319" s="5"/>
    </row>
    <row r="320" spans="1:28">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c r="AA320" s="5"/>
      <c r="AB320" s="5"/>
    </row>
    <row r="321" spans="1:28">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c r="AA321" s="5"/>
      <c r="AB321" s="5"/>
    </row>
    <row r="322" spans="1:28">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c r="AA322" s="5"/>
      <c r="AB322" s="5"/>
    </row>
    <row r="323" spans="1:28">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c r="AA323" s="5"/>
      <c r="AB323" s="5"/>
    </row>
    <row r="324" spans="1:28">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c r="AA324" s="5"/>
      <c r="AB324" s="5"/>
    </row>
    <row r="325" spans="1:28">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c r="AA325" s="5"/>
      <c r="AB325" s="5"/>
    </row>
    <row r="326" spans="1:28">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c r="AA326" s="5"/>
      <c r="AB326" s="5"/>
    </row>
    <row r="327" spans="1:28">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c r="AA327" s="5"/>
      <c r="AB327" s="5"/>
    </row>
    <row r="328" spans="1:28">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c r="AA328" s="5"/>
      <c r="AB328" s="5"/>
    </row>
    <row r="329" spans="1:28">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c r="AA329" s="5"/>
      <c r="AB329" s="5"/>
    </row>
    <row r="330" spans="1:28">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c r="AA330" s="5"/>
      <c r="AB330" s="5"/>
    </row>
    <row r="331" spans="1:28">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c r="AA331" s="5"/>
      <c r="AB331" s="5"/>
    </row>
    <row r="332" spans="1:28">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c r="AA332" s="5"/>
      <c r="AB332" s="5"/>
    </row>
    <row r="333" spans="1:28">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c r="AA333" s="5"/>
      <c r="AB333" s="5"/>
    </row>
    <row r="334" spans="1:28">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c r="AA334" s="5"/>
      <c r="AB334" s="5"/>
    </row>
    <row r="335" spans="1:28">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c r="AA335" s="5"/>
      <c r="AB335" s="5"/>
    </row>
    <row r="336" spans="1:28">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c r="AA336" s="5"/>
      <c r="AB336" s="5"/>
    </row>
    <row r="337" spans="1:28">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c r="AA337" s="5"/>
      <c r="AB337" s="5"/>
    </row>
    <row r="338" spans="1:28">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c r="AA338" s="5"/>
      <c r="AB338" s="5"/>
    </row>
    <row r="339" spans="1:28">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c r="AA339" s="5"/>
      <c r="AB339" s="5"/>
    </row>
    <row r="340" spans="1:28">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c r="AA340" s="5"/>
      <c r="AB340" s="5"/>
    </row>
    <row r="341" spans="1:28">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c r="AA341" s="5"/>
      <c r="AB341" s="5"/>
    </row>
    <row r="342" spans="1:28">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c r="AA342" s="5"/>
      <c r="AB342" s="5"/>
    </row>
    <row r="343" spans="1:28">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c r="AA343" s="5"/>
      <c r="AB343" s="5"/>
    </row>
    <row r="344" spans="1:28">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c r="AA344" s="5"/>
      <c r="AB344" s="5"/>
    </row>
    <row r="345" spans="1:28">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c r="AA345" s="5"/>
      <c r="AB345" s="5"/>
    </row>
    <row r="346" spans="1:28">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c r="AA346" s="5"/>
      <c r="AB346" s="5"/>
    </row>
    <row r="347" spans="1:28">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c r="AA347" s="5"/>
      <c r="AB347" s="5"/>
    </row>
    <row r="348" spans="1:28">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c r="AA348" s="5"/>
      <c r="AB348" s="5"/>
    </row>
    <row r="349" spans="1:28">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c r="AA349" s="5"/>
      <c r="AB349" s="5"/>
    </row>
    <row r="350" spans="1:28">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c r="AA350" s="5"/>
      <c r="AB350" s="5"/>
    </row>
    <row r="351" spans="1:28">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c r="AA351" s="5"/>
      <c r="AB351" s="5"/>
    </row>
    <row r="352" spans="1:28">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c r="AA352" s="5"/>
      <c r="AB352" s="5"/>
    </row>
    <row r="353" spans="1:28">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c r="AA353" s="5"/>
      <c r="AB353" s="5"/>
    </row>
    <row r="354" spans="1:28">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c r="AA354" s="5"/>
      <c r="AB354" s="5"/>
    </row>
    <row r="355" spans="1:28">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c r="AA355" s="5"/>
      <c r="AB355" s="5"/>
    </row>
    <row r="356" spans="1:28">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c r="AA356" s="5"/>
      <c r="AB356" s="5"/>
    </row>
    <row r="357" spans="1:28">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c r="AA357" s="5"/>
      <c r="AB357" s="5"/>
    </row>
    <row r="358" spans="1:28">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c r="AA358" s="5"/>
      <c r="AB358" s="5"/>
    </row>
    <row r="359" spans="1:28">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c r="AA359" s="5"/>
      <c r="AB359" s="5"/>
    </row>
    <row r="360" spans="1:28">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c r="AA360" s="5"/>
      <c r="AB360" s="5"/>
    </row>
    <row r="361" spans="1:28">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c r="AA361" s="5"/>
      <c r="AB361" s="5"/>
    </row>
    <row r="362" spans="1:28">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c r="AA362" s="5"/>
      <c r="AB362" s="5"/>
    </row>
    <row r="363" spans="1:28">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c r="AA363" s="5"/>
      <c r="AB363" s="5"/>
    </row>
    <row r="364" spans="1:28">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c r="AA364" s="5"/>
      <c r="AB364" s="5"/>
    </row>
    <row r="365" spans="1:28">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c r="AA365" s="5"/>
      <c r="AB365" s="5"/>
    </row>
    <row r="366" spans="1:28">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c r="AA366" s="5"/>
      <c r="AB366" s="5"/>
    </row>
    <row r="367" spans="1:28">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c r="AA367" s="5"/>
      <c r="AB367" s="5"/>
    </row>
    <row r="368" spans="1:28">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c r="AA368" s="5"/>
      <c r="AB368" s="5"/>
    </row>
    <row r="369" spans="1:28">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c r="AA369" s="5"/>
      <c r="AB369" s="5"/>
    </row>
    <row r="370" spans="1:28">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c r="AA370" s="5"/>
      <c r="AB370" s="5"/>
    </row>
    <row r="371" spans="1:28">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c r="AA371" s="5"/>
      <c r="AB371" s="5"/>
    </row>
    <row r="372" spans="1:28">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c r="AA372" s="5"/>
      <c r="AB372" s="5"/>
    </row>
    <row r="373" spans="1:28">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c r="AA373" s="5"/>
      <c r="AB373" s="5"/>
    </row>
    <row r="374" spans="1:28">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c r="AA374" s="5"/>
      <c r="AB374" s="5"/>
    </row>
    <row r="375" spans="1:28">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c r="AA375" s="5"/>
      <c r="AB375" s="5"/>
    </row>
    <row r="376" spans="1:28">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c r="AA376" s="5"/>
      <c r="AB376" s="5"/>
    </row>
    <row r="377" spans="1:28">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c r="AA377" s="5"/>
      <c r="AB377" s="5"/>
    </row>
    <row r="378" spans="1:28">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c r="AA378" s="5"/>
      <c r="AB378" s="5"/>
    </row>
    <row r="379" spans="1:28">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c r="AA379" s="5"/>
      <c r="AB379" s="5"/>
    </row>
    <row r="380" spans="1:28">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c r="AA380" s="5"/>
      <c r="AB380" s="5"/>
    </row>
    <row r="381" spans="1:28">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c r="AA381" s="5"/>
      <c r="AB381" s="5"/>
    </row>
    <row r="382" spans="1:28">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c r="AA382" s="5"/>
      <c r="AB382" s="5"/>
    </row>
    <row r="383" spans="1:28">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c r="AA383" s="5"/>
      <c r="AB383" s="5"/>
    </row>
    <row r="384" spans="1:28">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c r="AA384" s="5"/>
      <c r="AB384" s="5"/>
    </row>
    <row r="385" spans="1:28">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c r="AA385" s="5"/>
      <c r="AB385" s="5"/>
    </row>
    <row r="386" spans="1:28">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c r="AA386" s="5"/>
      <c r="AB386" s="5"/>
    </row>
    <row r="387" spans="1:28">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c r="AA387" s="5"/>
      <c r="AB387" s="5"/>
    </row>
    <row r="388" spans="1:28">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c r="AA388" s="5"/>
      <c r="AB388" s="5"/>
    </row>
    <row r="389" spans="1:28">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c r="AA389" s="5"/>
      <c r="AB389" s="5"/>
    </row>
    <row r="390" spans="1:28">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c r="AA390" s="5"/>
      <c r="AB390" s="5"/>
    </row>
    <row r="391" spans="1:28">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c r="AA391" s="5"/>
      <c r="AB391" s="5"/>
    </row>
    <row r="392" spans="1:28">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c r="AA392" s="5"/>
      <c r="AB392" s="5"/>
    </row>
    <row r="393" spans="1:28">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c r="AA393" s="5"/>
      <c r="AB393" s="5"/>
    </row>
    <row r="394" spans="1:28">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c r="AA394" s="5"/>
      <c r="AB394" s="5"/>
    </row>
    <row r="395" spans="1:28">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c r="AA395" s="5"/>
      <c r="AB395" s="5"/>
    </row>
    <row r="396" spans="1:28">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c r="AA396" s="5"/>
      <c r="AB396" s="5"/>
    </row>
    <row r="397" spans="1:28">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c r="AA397" s="5"/>
      <c r="AB397" s="5"/>
    </row>
    <row r="398" spans="1:28">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c r="AA398" s="5"/>
      <c r="AB398" s="5"/>
    </row>
    <row r="399" spans="1:28">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c r="AA399" s="5"/>
      <c r="AB399" s="5"/>
    </row>
    <row r="400" spans="1:28">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c r="AA400" s="5"/>
      <c r="AB400" s="5"/>
    </row>
    <row r="401" spans="1:28">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c r="AA401" s="5"/>
      <c r="AB401" s="5"/>
    </row>
    <row r="402" spans="1:28">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c r="AA402" s="5"/>
      <c r="AB402" s="5"/>
    </row>
    <row r="403" spans="1:28">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c r="AA403" s="5"/>
      <c r="AB403" s="5"/>
    </row>
    <row r="404" spans="1:28">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c r="AA404" s="5"/>
      <c r="AB404" s="5"/>
    </row>
    <row r="405" spans="1:28">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c r="AA405" s="5"/>
      <c r="AB405" s="5"/>
    </row>
    <row r="406" spans="1:28">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c r="AA406" s="5"/>
      <c r="AB406" s="5"/>
    </row>
    <row r="407" spans="1:28">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c r="AA407" s="5"/>
      <c r="AB407" s="5"/>
    </row>
    <row r="408" spans="1:28">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c r="AA408" s="5"/>
      <c r="AB408" s="5"/>
    </row>
    <row r="409" spans="1:28">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c r="AA409" s="5"/>
      <c r="AB409" s="5"/>
    </row>
    <row r="410" spans="1:28">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c r="AA410" s="5"/>
      <c r="AB410" s="5"/>
    </row>
    <row r="411" spans="1:28">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c r="AA411" s="5"/>
      <c r="AB411" s="5"/>
    </row>
    <row r="412" spans="1:28">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c r="AA412" s="5"/>
      <c r="AB412" s="5"/>
    </row>
    <row r="413" spans="1:28">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c r="AA413" s="5"/>
      <c r="AB413" s="5"/>
    </row>
    <row r="414" spans="1:28">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c r="AA414" s="5"/>
      <c r="AB414" s="5"/>
    </row>
    <row r="415" spans="1:28">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c r="AA415" s="5"/>
      <c r="AB415" s="5"/>
    </row>
    <row r="416" spans="1:28">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c r="AA416" s="5"/>
      <c r="AB416" s="5"/>
    </row>
    <row r="417" spans="1:28">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c r="AA417" s="5"/>
      <c r="AB417" s="5"/>
    </row>
    <row r="418" spans="1:28">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c r="AA418" s="5"/>
      <c r="AB418" s="5"/>
    </row>
    <row r="419" spans="1:28">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c r="AA419" s="5"/>
      <c r="AB419" s="5"/>
    </row>
    <row r="420" spans="1:28">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c r="AA420" s="5"/>
      <c r="AB420" s="5"/>
    </row>
    <row r="421" spans="1:28">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c r="AA421" s="5"/>
      <c r="AB421" s="5"/>
    </row>
    <row r="422" spans="1:28">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c r="AA422" s="5"/>
      <c r="AB422" s="5"/>
    </row>
    <row r="423" spans="1:28">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c r="AA423" s="5"/>
      <c r="AB423" s="5"/>
    </row>
    <row r="424" spans="1:28">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c r="AA424" s="5"/>
      <c r="AB424" s="5"/>
    </row>
    <row r="425" spans="1:28">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c r="AA425" s="5"/>
      <c r="AB425" s="5"/>
    </row>
    <row r="426" spans="1:28">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c r="AA426" s="5"/>
      <c r="AB426" s="5"/>
    </row>
    <row r="427" spans="1:28">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c r="AA427" s="5"/>
      <c r="AB427" s="5"/>
    </row>
    <row r="428" spans="1:28">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c r="AA428" s="5"/>
      <c r="AB428" s="5"/>
    </row>
    <row r="429" spans="1:28">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c r="AA429" s="5"/>
      <c r="AB429" s="5"/>
    </row>
    <row r="430" spans="1:28">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c r="AA430" s="5"/>
      <c r="AB430" s="5"/>
    </row>
    <row r="431" spans="1:28">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c r="AA431" s="5"/>
      <c r="AB431" s="5"/>
    </row>
    <row r="432" spans="1:28">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c r="AA432" s="5"/>
      <c r="AB432" s="5"/>
    </row>
    <row r="433" spans="1:28">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c r="AA433" s="5"/>
      <c r="AB433" s="5"/>
    </row>
    <row r="434" spans="1:28">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c r="AA434" s="5"/>
      <c r="AB434" s="5"/>
    </row>
    <row r="435" spans="1:28">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c r="AA435" s="5"/>
      <c r="AB435" s="5"/>
    </row>
    <row r="436" spans="1:28">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c r="AA436" s="5"/>
      <c r="AB436" s="5"/>
    </row>
    <row r="437" spans="1:28">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c r="AA437" s="5"/>
      <c r="AB437" s="5"/>
    </row>
    <row r="438" spans="1:28">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c r="AA438" s="5"/>
      <c r="AB438" s="5"/>
    </row>
    <row r="439" spans="1:28">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c r="AA439" s="5"/>
      <c r="AB439" s="5"/>
    </row>
    <row r="440" spans="1:28">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c r="AA440" s="5"/>
      <c r="AB440" s="5"/>
    </row>
    <row r="441" spans="1:28">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c r="AA441" s="5"/>
      <c r="AB441" s="5"/>
    </row>
    <row r="442" spans="1:28">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c r="AA442" s="5"/>
      <c r="AB442" s="5"/>
    </row>
    <row r="443" spans="1:28">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c r="AA443" s="5"/>
      <c r="AB443" s="5"/>
    </row>
    <row r="444" spans="1:28">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c r="AA444" s="5"/>
      <c r="AB444" s="5"/>
    </row>
    <row r="445" spans="1:28">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c r="AA445" s="5"/>
      <c r="AB445" s="5"/>
    </row>
    <row r="446" spans="1:28">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c r="AA446" s="5"/>
      <c r="AB446" s="5"/>
    </row>
    <row r="447" spans="1:28">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c r="AA447" s="5"/>
      <c r="AB447" s="5"/>
    </row>
    <row r="448" spans="1:28">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c r="AA448" s="5"/>
      <c r="AB448" s="5"/>
    </row>
    <row r="449" spans="1:28">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c r="AA449" s="5"/>
      <c r="AB449" s="5"/>
    </row>
    <row r="450" spans="1:28">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c r="AA450" s="5"/>
      <c r="AB450" s="5"/>
    </row>
    <row r="451" spans="1:28">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c r="AA451" s="5"/>
      <c r="AB451" s="5"/>
    </row>
    <row r="452" spans="1:28">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c r="AA452" s="5"/>
      <c r="AB452" s="5"/>
    </row>
    <row r="453" spans="1:28">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c r="AA453" s="5"/>
      <c r="AB453" s="5"/>
    </row>
    <row r="454" spans="1:28">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c r="AA454" s="5"/>
      <c r="AB454" s="5"/>
    </row>
    <row r="455" spans="1:28">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c r="AA455" s="5"/>
      <c r="AB455" s="5"/>
    </row>
    <row r="456" spans="1:28">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c r="AA456" s="5"/>
      <c r="AB456" s="5"/>
    </row>
    <row r="457" spans="1:28">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c r="AA457" s="5"/>
      <c r="AB457" s="5"/>
    </row>
    <row r="458" spans="1:28">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c r="AA458" s="5"/>
      <c r="AB458" s="5"/>
    </row>
    <row r="459" spans="1:28">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c r="AA459" s="5"/>
      <c r="AB459" s="5"/>
    </row>
    <row r="460" spans="1:28">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c r="AA460" s="5"/>
      <c r="AB460" s="5"/>
    </row>
    <row r="461" spans="1:28">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c r="AA461" s="5"/>
      <c r="AB461" s="5"/>
    </row>
    <row r="462" spans="1:28">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c r="AA462" s="5"/>
      <c r="AB462" s="5"/>
    </row>
    <row r="463" spans="1:28">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c r="AA463" s="5"/>
      <c r="AB463" s="5"/>
    </row>
    <row r="464" spans="1:28">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c r="AA464" s="5"/>
      <c r="AB464" s="5"/>
    </row>
    <row r="465" spans="1:28">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c r="AA465" s="5"/>
      <c r="AB465" s="5"/>
    </row>
    <row r="466" spans="1:28">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c r="AA466" s="5"/>
      <c r="AB466" s="5"/>
    </row>
    <row r="467" spans="1:28">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c r="AA467" s="5"/>
      <c r="AB467" s="5"/>
    </row>
    <row r="468" spans="1:28">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c r="AA468" s="5"/>
      <c r="AB468" s="5"/>
    </row>
    <row r="469" spans="1:28">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c r="AA469" s="5"/>
      <c r="AB469" s="5"/>
    </row>
    <row r="470" spans="1:28">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c r="AA470" s="5"/>
      <c r="AB470" s="5"/>
    </row>
    <row r="471" spans="1:28">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c r="AA471" s="5"/>
      <c r="AB471" s="5"/>
    </row>
    <row r="472" spans="1:28">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c r="AA472" s="5"/>
      <c r="AB472" s="5"/>
    </row>
    <row r="473" spans="1:28">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c r="AA473" s="5"/>
      <c r="AB473" s="5"/>
    </row>
    <row r="474" spans="1:28">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c r="AA474" s="5"/>
      <c r="AB474" s="5"/>
    </row>
    <row r="475" spans="1:28">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c r="AA475" s="5"/>
      <c r="AB475" s="5"/>
    </row>
    <row r="476" spans="1:28">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c r="AA476" s="5"/>
      <c r="AB476" s="5"/>
    </row>
    <row r="477" spans="1:28">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c r="AA477" s="5"/>
      <c r="AB477" s="5"/>
    </row>
    <row r="478" spans="1:28">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c r="AA478" s="5"/>
      <c r="AB478" s="5"/>
    </row>
    <row r="479" spans="1:28">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c r="AA479" s="5"/>
      <c r="AB479" s="5"/>
    </row>
    <row r="480" spans="1:28">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c r="AA480" s="5"/>
      <c r="AB480" s="5"/>
    </row>
    <row r="481" spans="1:28">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c r="AA481" s="5"/>
      <c r="AB481" s="5"/>
    </row>
    <row r="482" spans="1:28">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c r="AA482" s="5"/>
      <c r="AB482" s="5"/>
    </row>
    <row r="483" spans="1:28">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c r="AA483" s="5"/>
      <c r="AB483" s="5"/>
    </row>
    <row r="484" spans="1:28">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c r="AA484" s="5"/>
      <c r="AB484" s="5"/>
    </row>
    <row r="485" spans="1:28">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c r="AA485" s="5"/>
      <c r="AB485" s="5"/>
    </row>
    <row r="486" spans="1:28">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c r="AA486" s="5"/>
      <c r="AB486" s="5"/>
    </row>
    <row r="487" spans="1:28">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c r="AA487" s="5"/>
      <c r="AB487" s="5"/>
    </row>
    <row r="488" spans="1:28">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c r="AA488" s="5"/>
      <c r="AB488" s="5"/>
    </row>
    <row r="489" spans="1:28">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c r="AA489" s="5"/>
      <c r="AB489" s="5"/>
    </row>
    <row r="490" spans="1:28">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c r="AA490" s="5"/>
      <c r="AB490" s="5"/>
    </row>
    <row r="491" spans="1:28">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c r="AA491" s="5"/>
      <c r="AB491" s="5"/>
    </row>
    <row r="492" spans="1:28">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c r="AA492" s="5"/>
      <c r="AB492" s="5"/>
    </row>
    <row r="493" spans="1:28">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c r="AA493" s="5"/>
      <c r="AB493" s="5"/>
    </row>
    <row r="494" spans="1:28">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c r="AA494" s="5"/>
      <c r="AB494" s="5"/>
    </row>
    <row r="495" spans="1:28">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c r="AA495" s="5"/>
      <c r="AB495" s="5"/>
    </row>
    <row r="496" spans="1:28">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c r="AA496" s="5"/>
      <c r="AB496" s="5"/>
    </row>
    <row r="497" spans="1:28">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c r="AA497" s="5"/>
      <c r="AB497" s="5"/>
    </row>
    <row r="498" spans="1:28">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c r="AA498" s="5"/>
      <c r="AB498" s="5"/>
    </row>
    <row r="499" spans="1:28">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c r="AA499" s="5"/>
      <c r="AB499" s="5"/>
    </row>
    <row r="500" spans="1:28">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c r="AA500" s="5"/>
      <c r="AB500" s="5"/>
    </row>
    <row r="501" spans="1:28">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c r="AA501" s="5"/>
      <c r="AB501" s="5"/>
    </row>
    <row r="502" spans="1:28">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c r="AA502" s="5"/>
      <c r="AB502" s="5"/>
    </row>
    <row r="503" spans="1:28">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c r="AA503" s="5"/>
      <c r="AB503" s="5"/>
    </row>
    <row r="504" spans="1:28">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c r="AA504" s="5"/>
      <c r="AB504" s="5"/>
    </row>
    <row r="505" spans="1:28">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c r="AA505" s="5"/>
      <c r="AB505" s="5"/>
    </row>
    <row r="506" spans="1:28">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c r="AA506" s="5"/>
      <c r="AB506" s="5"/>
    </row>
    <row r="507" spans="1:28">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c r="AA507" s="5"/>
      <c r="AB507" s="5"/>
    </row>
    <row r="508" spans="1:28">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c r="AA508" s="5"/>
      <c r="AB508" s="5"/>
    </row>
    <row r="509" spans="1:28">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c r="AA509" s="5"/>
      <c r="AB509" s="5"/>
    </row>
    <row r="510" spans="1:28">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c r="AA510" s="5"/>
      <c r="AB510" s="5"/>
    </row>
    <row r="511" spans="1:28">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c r="AA511" s="5"/>
      <c r="AB511" s="5"/>
    </row>
    <row r="512" spans="1:28">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c r="AA512" s="5"/>
      <c r="AB512" s="5"/>
    </row>
    <row r="513" spans="1:28">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c r="AA513" s="5"/>
      <c r="AB513" s="5"/>
    </row>
    <row r="514" spans="1:28">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c r="AA514" s="5"/>
      <c r="AB514" s="5"/>
    </row>
    <row r="515" spans="1:28">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c r="AA515" s="5"/>
      <c r="AB515" s="5"/>
    </row>
    <row r="516" spans="1:28">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c r="AA516" s="5"/>
      <c r="AB516" s="5"/>
    </row>
    <row r="517" spans="1:28">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c r="AA517" s="5"/>
      <c r="AB517" s="5"/>
    </row>
    <row r="518" spans="1:28">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c r="AA518" s="5"/>
      <c r="AB518" s="5"/>
    </row>
    <row r="519" spans="1:28">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c r="AA519" s="5"/>
      <c r="AB519" s="5"/>
    </row>
    <row r="520" spans="1:28">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c r="AA520" s="5"/>
      <c r="AB520" s="5"/>
    </row>
    <row r="521" spans="1:28">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c r="AA521" s="5"/>
      <c r="AB521" s="5"/>
    </row>
    <row r="522" spans="1:28">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c r="AA522" s="5"/>
      <c r="AB522" s="5"/>
    </row>
    <row r="523" spans="1:28">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c r="AA523" s="5"/>
      <c r="AB523" s="5"/>
    </row>
    <row r="524" spans="1:28">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c r="AA524" s="5"/>
      <c r="AB524" s="5"/>
    </row>
    <row r="525" spans="1:28">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c r="AA525" s="5"/>
      <c r="AB525" s="5"/>
    </row>
    <row r="526" spans="1:28">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c r="AA526" s="5"/>
      <c r="AB526" s="5"/>
    </row>
    <row r="527" spans="1:28">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c r="AA527" s="5"/>
      <c r="AB527" s="5"/>
    </row>
    <row r="528" spans="1:28">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c r="AA528" s="5"/>
      <c r="AB528" s="5"/>
    </row>
    <row r="529" spans="1:28">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c r="AA529" s="5"/>
      <c r="AB529" s="5"/>
    </row>
    <row r="530" spans="1:28">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c r="AA530" s="5"/>
      <c r="AB530" s="5"/>
    </row>
    <row r="531" spans="1:28">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c r="AA531" s="5"/>
      <c r="AB531" s="5"/>
    </row>
    <row r="532" spans="1:28">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c r="AA532" s="5"/>
      <c r="AB532" s="5"/>
    </row>
    <row r="533" spans="1:28">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c r="AA533" s="5"/>
      <c r="AB533" s="5"/>
    </row>
    <row r="534" spans="1:28">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c r="AA534" s="5"/>
      <c r="AB534" s="5"/>
    </row>
    <row r="535" spans="1:28">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c r="AA535" s="5"/>
      <c r="AB535" s="5"/>
    </row>
    <row r="536" spans="1:28">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c r="AA536" s="5"/>
      <c r="AB536" s="5"/>
    </row>
    <row r="537" spans="1:28">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c r="AA537" s="5"/>
      <c r="AB537" s="5"/>
    </row>
    <row r="538" spans="1:28">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c r="AA538" s="5"/>
      <c r="AB538" s="5"/>
    </row>
    <row r="539" spans="1:28">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c r="AA539" s="5"/>
      <c r="AB539" s="5"/>
    </row>
    <row r="540" spans="1:28">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c r="AA540" s="5"/>
      <c r="AB540" s="5"/>
    </row>
    <row r="541" spans="1:28">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c r="AA541" s="5"/>
      <c r="AB541" s="5"/>
    </row>
    <row r="542" spans="1:28">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c r="AA542" s="5"/>
      <c r="AB542" s="5"/>
    </row>
    <row r="543" spans="1:28">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c r="AA543" s="5"/>
      <c r="AB543" s="5"/>
    </row>
    <row r="544" spans="1:28">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c r="AA544" s="5"/>
      <c r="AB544" s="5"/>
    </row>
    <row r="545" spans="1:28">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c r="AA545" s="5"/>
      <c r="AB545" s="5"/>
    </row>
    <row r="546" spans="1:28">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c r="AA546" s="5"/>
      <c r="AB546" s="5"/>
    </row>
    <row r="547" spans="1:28">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c r="AA547" s="5"/>
      <c r="AB547" s="5"/>
    </row>
    <row r="548" spans="1:28">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c r="AA548" s="5"/>
      <c r="AB548" s="5"/>
    </row>
    <row r="549" spans="1:28">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c r="AA549" s="5"/>
      <c r="AB549" s="5"/>
    </row>
    <row r="550" spans="1:28">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c r="AA550" s="5"/>
      <c r="AB550" s="5"/>
    </row>
    <row r="551" spans="1:28">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c r="AA551" s="5"/>
      <c r="AB551" s="5"/>
    </row>
    <row r="552" spans="1:28">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c r="AA552" s="5"/>
      <c r="AB552" s="5"/>
    </row>
    <row r="553" spans="1:28">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c r="AA553" s="5"/>
      <c r="AB553" s="5"/>
    </row>
    <row r="554" spans="1:28">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c r="AA554" s="5"/>
      <c r="AB554" s="5"/>
    </row>
    <row r="555" spans="1:28">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c r="AA555" s="5"/>
      <c r="AB555" s="5"/>
    </row>
    <row r="556" spans="1:28">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c r="AA556" s="5"/>
      <c r="AB556" s="5"/>
    </row>
    <row r="557" spans="1:28">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c r="AA557" s="5"/>
      <c r="AB557" s="5"/>
    </row>
    <row r="558" spans="1:28">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c r="AA558" s="5"/>
      <c r="AB558" s="5"/>
    </row>
    <row r="559" spans="1:28">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c r="AA559" s="5"/>
      <c r="AB559" s="5"/>
    </row>
    <row r="560" spans="1:28">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c r="AA560" s="5"/>
      <c r="AB560" s="5"/>
    </row>
    <row r="561" spans="1:28">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c r="AA561" s="5"/>
      <c r="AB561" s="5"/>
    </row>
    <row r="562" spans="1:28">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c r="AA562" s="5"/>
      <c r="AB562" s="5"/>
    </row>
    <row r="563" spans="1:28">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c r="AA563" s="5"/>
      <c r="AB563" s="5"/>
    </row>
    <row r="564" spans="1:28">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c r="AA564" s="5"/>
      <c r="AB564" s="5"/>
    </row>
    <row r="565" spans="1:28">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c r="AA565" s="5"/>
      <c r="AB565" s="5"/>
    </row>
    <row r="566" spans="1:28">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c r="AA566" s="5"/>
      <c r="AB566" s="5"/>
    </row>
    <row r="567" spans="1:28">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c r="AA567" s="5"/>
      <c r="AB567" s="5"/>
    </row>
    <row r="568" spans="1:28">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c r="AA568" s="5"/>
      <c r="AB568" s="5"/>
    </row>
    <row r="569" spans="1:28">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c r="AA569" s="5"/>
      <c r="AB569" s="5"/>
    </row>
    <row r="570" spans="1:28">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c r="AA570" s="5"/>
      <c r="AB570" s="5"/>
    </row>
    <row r="571" spans="1:28">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c r="AA571" s="5"/>
      <c r="AB571" s="5"/>
    </row>
    <row r="572" spans="1:28">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c r="AA572" s="5"/>
      <c r="AB572" s="5"/>
    </row>
    <row r="573" spans="1:28">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c r="AA573" s="5"/>
      <c r="AB573" s="5"/>
    </row>
    <row r="574" spans="1:28">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c r="AA574" s="5"/>
      <c r="AB574" s="5"/>
    </row>
    <row r="575" spans="1:28">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c r="AA575" s="5"/>
      <c r="AB575" s="5"/>
    </row>
    <row r="576" spans="1:28">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c r="AA576" s="5"/>
      <c r="AB576" s="5"/>
    </row>
    <row r="577" spans="1:28">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c r="AA577" s="5"/>
      <c r="AB577" s="5"/>
    </row>
    <row r="578" spans="1:28">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c r="AA578" s="5"/>
      <c r="AB578" s="5"/>
    </row>
    <row r="579" spans="1:28">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c r="AA579" s="5"/>
      <c r="AB579" s="5"/>
    </row>
    <row r="580" spans="1:28">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c r="AA580" s="5"/>
      <c r="AB580" s="5"/>
    </row>
    <row r="581" spans="1:28">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c r="AA581" s="5"/>
      <c r="AB581" s="5"/>
    </row>
    <row r="582" spans="1:28">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c r="AA582" s="5"/>
      <c r="AB582" s="5"/>
    </row>
    <row r="583" spans="1:28">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c r="AA583" s="5"/>
      <c r="AB583" s="5"/>
    </row>
    <row r="584" spans="1:28">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c r="AA584" s="5"/>
      <c r="AB584" s="5"/>
    </row>
    <row r="585" spans="1:28">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c r="AA585" s="5"/>
      <c r="AB585" s="5"/>
    </row>
    <row r="586" spans="1:28">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c r="AA586" s="5"/>
      <c r="AB586" s="5"/>
    </row>
    <row r="587" spans="1:28">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c r="AA587" s="5"/>
      <c r="AB587" s="5"/>
    </row>
    <row r="588" spans="1:28">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c r="AA588" s="5"/>
      <c r="AB588" s="5"/>
    </row>
    <row r="589" spans="1:28">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c r="AA589" s="5"/>
      <c r="AB589" s="5"/>
    </row>
    <row r="590" spans="1:28">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c r="AA590" s="5"/>
      <c r="AB590" s="5"/>
    </row>
    <row r="591" spans="1:28">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c r="AA591" s="5"/>
      <c r="AB591" s="5"/>
    </row>
    <row r="592" spans="1:28">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c r="AA592" s="5"/>
      <c r="AB592" s="5"/>
    </row>
    <row r="593" spans="1:28">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c r="AA593" s="5"/>
      <c r="AB593" s="5"/>
    </row>
    <row r="594" spans="1:28">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c r="AA594" s="5"/>
      <c r="AB594" s="5"/>
    </row>
    <row r="595" spans="1:28">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c r="AA595" s="5"/>
      <c r="AB595" s="5"/>
    </row>
    <row r="596" spans="1:28">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c r="AA596" s="5"/>
      <c r="AB596" s="5"/>
    </row>
    <row r="597" spans="1:28">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c r="AA597" s="5"/>
      <c r="AB597" s="5"/>
    </row>
    <row r="598" spans="1:28">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c r="AA598" s="5"/>
      <c r="AB598" s="5"/>
    </row>
    <row r="599" spans="1:28">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c r="AA599" s="5"/>
      <c r="AB599" s="5"/>
    </row>
    <row r="600" spans="1:28">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c r="AA600" s="5"/>
      <c r="AB600" s="5"/>
    </row>
    <row r="601" spans="1:28">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c r="AA601" s="5"/>
      <c r="AB601" s="5"/>
    </row>
    <row r="602" spans="1:28">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c r="AA602" s="5"/>
      <c r="AB602" s="5"/>
    </row>
    <row r="603" spans="1:28">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c r="AA603" s="5"/>
      <c r="AB603" s="5"/>
    </row>
    <row r="604" spans="1:28">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c r="AA604" s="5"/>
      <c r="AB604" s="5"/>
    </row>
    <row r="605" spans="1:28">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c r="AA605" s="5"/>
      <c r="AB605" s="5"/>
    </row>
    <row r="606" spans="1:28">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c r="AA606" s="5"/>
      <c r="AB606" s="5"/>
    </row>
    <row r="607" spans="1:28">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c r="AA607" s="5"/>
      <c r="AB607" s="5"/>
    </row>
    <row r="608" spans="1:28">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c r="AA608" s="5"/>
      <c r="AB608" s="5"/>
    </row>
    <row r="609" spans="1:28">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c r="AA609" s="5"/>
      <c r="AB609" s="5"/>
    </row>
    <row r="610" spans="1:28">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c r="AA610" s="5"/>
      <c r="AB610" s="5"/>
    </row>
    <row r="611" spans="1:28">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c r="AA611" s="5"/>
      <c r="AB611" s="5"/>
    </row>
    <row r="612" spans="1:28">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c r="AA612" s="5"/>
      <c r="AB612" s="5"/>
    </row>
    <row r="613" spans="1:28">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c r="AA613" s="5"/>
      <c r="AB613" s="5"/>
    </row>
    <row r="614" spans="1:28">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c r="AA614" s="5"/>
      <c r="AB614" s="5"/>
    </row>
    <row r="615" spans="1:28">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c r="AA615" s="5"/>
      <c r="AB615" s="5"/>
    </row>
    <row r="616" spans="1:28">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c r="AA616" s="5"/>
      <c r="AB616" s="5"/>
    </row>
    <row r="617" spans="1:28">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c r="AA617" s="5"/>
      <c r="AB617" s="5"/>
    </row>
    <row r="618" spans="1:28">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c r="AA618" s="5"/>
      <c r="AB618" s="5"/>
    </row>
    <row r="619" spans="1:28">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c r="AA619" s="5"/>
      <c r="AB619" s="5"/>
    </row>
    <row r="620" spans="1:28">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c r="AA620" s="5"/>
      <c r="AB620" s="5"/>
    </row>
    <row r="621" spans="1:28">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c r="AA621" s="5"/>
      <c r="AB621" s="5"/>
    </row>
    <row r="622" spans="1:28">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c r="AA622" s="5"/>
      <c r="AB622" s="5"/>
    </row>
    <row r="623" spans="1:28">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c r="AA623" s="5"/>
      <c r="AB623" s="5"/>
    </row>
    <row r="624" spans="1:28">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c r="AA624" s="5"/>
      <c r="AB624" s="5"/>
    </row>
    <row r="625" spans="1:28">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c r="AA625" s="5"/>
      <c r="AB625" s="5"/>
    </row>
    <row r="626" spans="1:28">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c r="AA626" s="5"/>
      <c r="AB626" s="5"/>
    </row>
    <row r="627" spans="1:28">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c r="AA627" s="5"/>
      <c r="AB627" s="5"/>
    </row>
    <row r="628" spans="1:28">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c r="AA628" s="5"/>
      <c r="AB628" s="5"/>
    </row>
    <row r="629" spans="1:28">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c r="AA629" s="5"/>
      <c r="AB629" s="5"/>
    </row>
    <row r="630" spans="1:28">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c r="AA630" s="5"/>
      <c r="AB630" s="5"/>
    </row>
    <row r="631" spans="1:28">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c r="AA631" s="5"/>
      <c r="AB631" s="5"/>
    </row>
    <row r="632" spans="1:28">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c r="AA632" s="5"/>
      <c r="AB632" s="5"/>
    </row>
    <row r="633" spans="1:28">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c r="AA633" s="5"/>
      <c r="AB633" s="5"/>
    </row>
    <row r="634" spans="1:28">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c r="AA634" s="5"/>
      <c r="AB634" s="5"/>
    </row>
    <row r="635" spans="1:28">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c r="AA635" s="5"/>
      <c r="AB635" s="5"/>
    </row>
    <row r="636" spans="1:28">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c r="AA636" s="5"/>
      <c r="AB636" s="5"/>
    </row>
    <row r="637" spans="1:28">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c r="AA637" s="5"/>
      <c r="AB637" s="5"/>
    </row>
    <row r="638" spans="1:28">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c r="AA638" s="5"/>
      <c r="AB638" s="5"/>
    </row>
    <row r="639" spans="1:28">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c r="AA639" s="5"/>
      <c r="AB639" s="5"/>
    </row>
    <row r="640" spans="1:28">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c r="AA640" s="5"/>
      <c r="AB640" s="5"/>
    </row>
    <row r="641" spans="1:28">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c r="AA641" s="5"/>
      <c r="AB641" s="5"/>
    </row>
    <row r="642" spans="1:28">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c r="AA642" s="5"/>
      <c r="AB642" s="5"/>
    </row>
    <row r="643" spans="1:28">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c r="AA643" s="5"/>
      <c r="AB643" s="5"/>
    </row>
    <row r="644" spans="1:28">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c r="AA644" s="5"/>
      <c r="AB644" s="5"/>
    </row>
    <row r="645" spans="1:28">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c r="AA645" s="5"/>
      <c r="AB645" s="5"/>
    </row>
    <row r="646" spans="1:28">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c r="AA646" s="5"/>
      <c r="AB646" s="5"/>
    </row>
    <row r="647" spans="1:28">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c r="AA647" s="5"/>
      <c r="AB647" s="5"/>
    </row>
    <row r="648" spans="1:28">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c r="AA648" s="5"/>
      <c r="AB648" s="5"/>
    </row>
    <row r="649" spans="1:28">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c r="AA649" s="5"/>
      <c r="AB649" s="5"/>
    </row>
    <row r="650" spans="1:28">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c r="AA650" s="5"/>
      <c r="AB650" s="5"/>
    </row>
    <row r="651" spans="1:28">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c r="AA651" s="5"/>
      <c r="AB651" s="5"/>
    </row>
    <row r="652" spans="1:28">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c r="AA652" s="5"/>
      <c r="AB652" s="5"/>
    </row>
    <row r="653" spans="1:28">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c r="AA653" s="5"/>
      <c r="AB653" s="5"/>
    </row>
    <row r="654" spans="1:28">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c r="AA654" s="5"/>
      <c r="AB654" s="5"/>
    </row>
    <row r="655" spans="1:28">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c r="AA655" s="5"/>
      <c r="AB655" s="5"/>
    </row>
    <row r="656" spans="1:28">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c r="AA656" s="5"/>
      <c r="AB656" s="5"/>
    </row>
    <row r="657" spans="1:28">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c r="AA657" s="5"/>
      <c r="AB657" s="5"/>
    </row>
    <row r="658" spans="1:28">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c r="AA658" s="5"/>
      <c r="AB658" s="5"/>
    </row>
    <row r="659" spans="1:28">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c r="AA659" s="5"/>
      <c r="AB659" s="5"/>
    </row>
    <row r="660" spans="1:28">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c r="AA660" s="5"/>
      <c r="AB660" s="5"/>
    </row>
    <row r="661" spans="1:28">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c r="AA661" s="5"/>
      <c r="AB661" s="5"/>
    </row>
    <row r="662" spans="1:28">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c r="AA662" s="5"/>
      <c r="AB662" s="5"/>
    </row>
    <row r="663" spans="1:28">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c r="AA663" s="5"/>
      <c r="AB663" s="5"/>
    </row>
    <row r="664" spans="1:28">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c r="AA664" s="5"/>
      <c r="AB664" s="5"/>
    </row>
    <row r="665" spans="1:28">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c r="AA665" s="5"/>
      <c r="AB665" s="5"/>
    </row>
    <row r="666" spans="1:28">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c r="AA666" s="5"/>
      <c r="AB666" s="5"/>
    </row>
    <row r="667" spans="1:28">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c r="AA667" s="5"/>
      <c r="AB667" s="5"/>
    </row>
    <row r="668" spans="1:28">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c r="AA668" s="5"/>
      <c r="AB668" s="5"/>
    </row>
    <row r="669" spans="1:28">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c r="AA669" s="5"/>
      <c r="AB669" s="5"/>
    </row>
    <row r="670" spans="1:28">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c r="AA670" s="5"/>
      <c r="AB670" s="5"/>
    </row>
    <row r="671" spans="1:28">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c r="AA671" s="5"/>
      <c r="AB671" s="5"/>
    </row>
    <row r="672" spans="1:28">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c r="AA672" s="5"/>
      <c r="AB672" s="5"/>
    </row>
    <row r="673" spans="1:28">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c r="AA673" s="5"/>
      <c r="AB673" s="5"/>
    </row>
    <row r="674" spans="1:28">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c r="AA674" s="5"/>
      <c r="AB674" s="5"/>
    </row>
    <row r="675" spans="1:28">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c r="AA675" s="5"/>
      <c r="AB675" s="5"/>
    </row>
    <row r="676" spans="1:28">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c r="AA676" s="5"/>
      <c r="AB676" s="5"/>
    </row>
    <row r="677" spans="1:28">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c r="AA677" s="5"/>
      <c r="AB677" s="5"/>
    </row>
    <row r="678" spans="1:28">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c r="AA678" s="5"/>
      <c r="AB678" s="5"/>
    </row>
    <row r="679" spans="1:28">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c r="AA679" s="5"/>
      <c r="AB679" s="5"/>
    </row>
    <row r="680" spans="1:28">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c r="AA680" s="5"/>
      <c r="AB680" s="5"/>
    </row>
    <row r="681" spans="1:28">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c r="AA681" s="5"/>
      <c r="AB681" s="5"/>
    </row>
    <row r="682" spans="1:28">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c r="AA682" s="5"/>
      <c r="AB682" s="5"/>
    </row>
    <row r="683" spans="1:28">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c r="AA683" s="5"/>
      <c r="AB683" s="5"/>
    </row>
    <row r="684" spans="1:28">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c r="AA684" s="5"/>
      <c r="AB684" s="5"/>
    </row>
    <row r="685" spans="1:28">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c r="AA685" s="5"/>
      <c r="AB685" s="5"/>
    </row>
    <row r="686" spans="1:28">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c r="AA686" s="5"/>
      <c r="AB686" s="5"/>
    </row>
    <row r="687" spans="1:28">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c r="AA687" s="5"/>
      <c r="AB687" s="5"/>
    </row>
    <row r="688" spans="1:28">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c r="AA688" s="5"/>
      <c r="AB688" s="5"/>
    </row>
    <row r="689" spans="1:28">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c r="AA689" s="5"/>
      <c r="AB689" s="5"/>
    </row>
    <row r="690" spans="1:28">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c r="AA690" s="5"/>
      <c r="AB690" s="5"/>
    </row>
    <row r="691" spans="1:28">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c r="AA691" s="5"/>
      <c r="AB691" s="5"/>
    </row>
    <row r="692" spans="1:28">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c r="AA692" s="5"/>
      <c r="AB692" s="5"/>
    </row>
    <row r="693" spans="1:28">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c r="AA693" s="5"/>
      <c r="AB693" s="5"/>
    </row>
    <row r="694" spans="1:28">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c r="AA694" s="5"/>
      <c r="AB694" s="5"/>
    </row>
    <row r="695" spans="1:28">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c r="AA695" s="5"/>
      <c r="AB695" s="5"/>
    </row>
    <row r="696" spans="1:28">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c r="AA696" s="5"/>
      <c r="AB696" s="5"/>
    </row>
    <row r="697" spans="1:28">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c r="AA697" s="5"/>
      <c r="AB697" s="5"/>
    </row>
    <row r="698" spans="1:28">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c r="AA698" s="5"/>
      <c r="AB698" s="5"/>
    </row>
    <row r="699" spans="1:28">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c r="AA699" s="5"/>
      <c r="AB699" s="5"/>
    </row>
    <row r="700" spans="1:28">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c r="AA700" s="5"/>
      <c r="AB700" s="5"/>
    </row>
    <row r="701" spans="1:28">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c r="AA701" s="5"/>
      <c r="AB701" s="5"/>
    </row>
    <row r="702" spans="1:28">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c r="AA702" s="5"/>
      <c r="AB702" s="5"/>
    </row>
    <row r="703" spans="1:28">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c r="AA703" s="5"/>
      <c r="AB703" s="5"/>
    </row>
    <row r="704" spans="1:28">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c r="AA704" s="5"/>
      <c r="AB704" s="5"/>
    </row>
    <row r="705" spans="1:28">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c r="AA705" s="5"/>
      <c r="AB705" s="5"/>
    </row>
    <row r="706" spans="1:28">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c r="AA706" s="5"/>
      <c r="AB706" s="5"/>
    </row>
    <row r="707" spans="1:28">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c r="AA707" s="5"/>
      <c r="AB707" s="5"/>
    </row>
    <row r="708" spans="1:28">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c r="AA708" s="5"/>
      <c r="AB708" s="5"/>
    </row>
    <row r="709" spans="1:28">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c r="AA709" s="5"/>
      <c r="AB709" s="5"/>
    </row>
    <row r="710" spans="1:28">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c r="AA710" s="5"/>
      <c r="AB710" s="5"/>
    </row>
    <row r="711" spans="1:28">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c r="AA711" s="5"/>
      <c r="AB711" s="5"/>
    </row>
    <row r="712" spans="1:28">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c r="AA712" s="5"/>
      <c r="AB712" s="5"/>
    </row>
    <row r="713" spans="1:28">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c r="AA713" s="5"/>
      <c r="AB713" s="5"/>
    </row>
    <row r="714" spans="1:28">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c r="AA714" s="5"/>
      <c r="AB714" s="5"/>
    </row>
    <row r="715" spans="1:28">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c r="AA715" s="5"/>
      <c r="AB715" s="5"/>
    </row>
    <row r="716" spans="1:28">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c r="AA716" s="5"/>
      <c r="AB716" s="5"/>
    </row>
    <row r="717" spans="1:28">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c r="AA717" s="5"/>
      <c r="AB717" s="5"/>
    </row>
    <row r="718" spans="1:28">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c r="AA718" s="5"/>
      <c r="AB718" s="5"/>
    </row>
    <row r="719" spans="1:28">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c r="AA719" s="5"/>
      <c r="AB719" s="5"/>
    </row>
    <row r="720" spans="1:28">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c r="AA720" s="5"/>
      <c r="AB720" s="5"/>
    </row>
    <row r="721" spans="1:28">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c r="AA721" s="5"/>
      <c r="AB721" s="5"/>
    </row>
    <row r="722" spans="1:28">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c r="AA722" s="5"/>
      <c r="AB722" s="5"/>
    </row>
    <row r="723" spans="1:28">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c r="AA723" s="5"/>
      <c r="AB723" s="5"/>
    </row>
    <row r="724" spans="1:28">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c r="AA724" s="5"/>
      <c r="AB724" s="5"/>
    </row>
    <row r="725" spans="1:28">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c r="AA725" s="5"/>
      <c r="AB725" s="5"/>
    </row>
    <row r="726" spans="1:28">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c r="AA726" s="5"/>
      <c r="AB726" s="5"/>
    </row>
    <row r="727" spans="1:28">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c r="AA727" s="5"/>
      <c r="AB727" s="5"/>
    </row>
    <row r="728" spans="1:28">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c r="AA728" s="5"/>
      <c r="AB728" s="5"/>
    </row>
    <row r="729" spans="1:28">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c r="AA729" s="5"/>
      <c r="AB729" s="5"/>
    </row>
    <row r="730" spans="1:28">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c r="AA730" s="5"/>
      <c r="AB730" s="5"/>
    </row>
    <row r="731" spans="1:28">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c r="AA731" s="5"/>
      <c r="AB731" s="5"/>
    </row>
    <row r="732" spans="1:28">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c r="AA732" s="5"/>
      <c r="AB732" s="5"/>
    </row>
    <row r="733" spans="1:28">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c r="AA733" s="5"/>
      <c r="AB733" s="5"/>
    </row>
    <row r="734" spans="1:28">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c r="AA734" s="5"/>
      <c r="AB734" s="5"/>
    </row>
    <row r="735" spans="1:28">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c r="AA735" s="5"/>
      <c r="AB735" s="5"/>
    </row>
    <row r="736" spans="1:28">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c r="AA736" s="5"/>
      <c r="AB736" s="5"/>
    </row>
    <row r="737" spans="1:28">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c r="AA737" s="5"/>
      <c r="AB737" s="5"/>
    </row>
    <row r="738" spans="1:28">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c r="AA738" s="5"/>
      <c r="AB738" s="5"/>
    </row>
    <row r="739" spans="1:28">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c r="AA739" s="5"/>
      <c r="AB739" s="5"/>
    </row>
    <row r="740" spans="1:28">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c r="AA740" s="5"/>
      <c r="AB740" s="5"/>
    </row>
    <row r="741" spans="1:28">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c r="AA741" s="5"/>
      <c r="AB741" s="5"/>
    </row>
    <row r="742" spans="1:28">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c r="AB742" s="5"/>
    </row>
    <row r="743" spans="1:28">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c r="AA743" s="5"/>
      <c r="AB743" s="5"/>
    </row>
    <row r="744" spans="1:28">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c r="AA744" s="5"/>
      <c r="AB744" s="5"/>
    </row>
    <row r="745" spans="1:28">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c r="AA745" s="5"/>
      <c r="AB745" s="5"/>
    </row>
    <row r="746" spans="1:28">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c r="AA746" s="5"/>
      <c r="AB746" s="5"/>
    </row>
    <row r="747" spans="1:28">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c r="AA747" s="5"/>
      <c r="AB747" s="5"/>
    </row>
    <row r="748" spans="1:28">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c r="AA748" s="5"/>
      <c r="AB748" s="5"/>
    </row>
    <row r="749" spans="1:28">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c r="AA749" s="5"/>
      <c r="AB749" s="5"/>
    </row>
    <row r="750" spans="1:28">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c r="AA750" s="5"/>
      <c r="AB750" s="5"/>
    </row>
    <row r="751" spans="1:28">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c r="AA751" s="5"/>
      <c r="AB751" s="5"/>
    </row>
    <row r="752" spans="1:28">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c r="AA752" s="5"/>
      <c r="AB752" s="5"/>
    </row>
    <row r="753" spans="1:28">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c r="AA753" s="5"/>
      <c r="AB753" s="5"/>
    </row>
    <row r="754" spans="1:28">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c r="AA754" s="5"/>
      <c r="AB754" s="5"/>
    </row>
    <row r="755" spans="1:28">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c r="AA755" s="5"/>
      <c r="AB755" s="5"/>
    </row>
    <row r="756" spans="1:28">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c r="AA756" s="5"/>
      <c r="AB756" s="5"/>
    </row>
    <row r="757" spans="1:28">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c r="AA757" s="5"/>
      <c r="AB757" s="5"/>
    </row>
    <row r="758" spans="1:28">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c r="AA758" s="5"/>
      <c r="AB758" s="5"/>
    </row>
    <row r="759" spans="1:28">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c r="AA759" s="5"/>
      <c r="AB759" s="5"/>
    </row>
    <row r="760" spans="1:28">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c r="AA760" s="5"/>
      <c r="AB760" s="5"/>
    </row>
    <row r="761" spans="1:28">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c r="AA761" s="5"/>
      <c r="AB761" s="5"/>
    </row>
    <row r="762" spans="1:28">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c r="AA762" s="5"/>
      <c r="AB762" s="5"/>
    </row>
    <row r="763" spans="1:28">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c r="AA763" s="5"/>
      <c r="AB763" s="5"/>
    </row>
    <row r="764" spans="1:28">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c r="AA764" s="5"/>
      <c r="AB764" s="5"/>
    </row>
    <row r="765" spans="1:28">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c r="AA765" s="5"/>
      <c r="AB765" s="5"/>
    </row>
    <row r="766" spans="1:28">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c r="AA766" s="5"/>
      <c r="AB766" s="5"/>
    </row>
    <row r="767" spans="1:28">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c r="AA767" s="5"/>
      <c r="AB767" s="5"/>
    </row>
    <row r="768" spans="1:28">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c r="AA768" s="5"/>
      <c r="AB768" s="5"/>
    </row>
    <row r="769" spans="1:28">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c r="AA769" s="5"/>
      <c r="AB769" s="5"/>
    </row>
    <row r="770" spans="1:28">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c r="AA770" s="5"/>
      <c r="AB770" s="5"/>
    </row>
    <row r="771" spans="1:28">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c r="AA771" s="5"/>
      <c r="AB771" s="5"/>
    </row>
    <row r="772" spans="1:28">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c r="AA772" s="5"/>
      <c r="AB772" s="5"/>
    </row>
    <row r="773" spans="1:28">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c r="AA773" s="5"/>
      <c r="AB773" s="5"/>
    </row>
    <row r="774" spans="1:28">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c r="AA774" s="5"/>
      <c r="AB774" s="5"/>
    </row>
    <row r="775" spans="1:28">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c r="AA775" s="5"/>
      <c r="AB775" s="5"/>
    </row>
    <row r="776" spans="1:28">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c r="AA776" s="5"/>
      <c r="AB776" s="5"/>
    </row>
    <row r="777" spans="1:28">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c r="AA777" s="5"/>
      <c r="AB777" s="5"/>
    </row>
    <row r="778" spans="1:28">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c r="AA778" s="5"/>
      <c r="AB778" s="5"/>
    </row>
    <row r="779" spans="1:28">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c r="AA779" s="5"/>
      <c r="AB779" s="5"/>
    </row>
    <row r="780" spans="1:28">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c r="AA780" s="5"/>
      <c r="AB780" s="5"/>
    </row>
    <row r="781" spans="1:28">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c r="AA781" s="5"/>
      <c r="AB781" s="5"/>
    </row>
    <row r="782" spans="1:28">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c r="AA782" s="5"/>
      <c r="AB782" s="5"/>
    </row>
    <row r="783" spans="1:28">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c r="AA783" s="5"/>
      <c r="AB783" s="5"/>
    </row>
    <row r="784" spans="1:28">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c r="AA784" s="5"/>
      <c r="AB784" s="5"/>
    </row>
    <row r="785" spans="1:28">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c r="AA785" s="5"/>
      <c r="AB785" s="5"/>
    </row>
    <row r="786" spans="1:28">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c r="AA786" s="5"/>
      <c r="AB786" s="5"/>
    </row>
    <row r="787" spans="1:28">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c r="AA787" s="5"/>
      <c r="AB787" s="5"/>
    </row>
    <row r="788" spans="1:28">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c r="AA788" s="5"/>
      <c r="AB788" s="5"/>
    </row>
    <row r="789" spans="1:28">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c r="AA789" s="5"/>
      <c r="AB789" s="5"/>
    </row>
    <row r="790" spans="1:28">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c r="AA790" s="5"/>
      <c r="AB790" s="5"/>
    </row>
    <row r="791" spans="1:28">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c r="AA791" s="5"/>
      <c r="AB791" s="5"/>
    </row>
    <row r="792" spans="1:28">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c r="AA792" s="5"/>
      <c r="AB792" s="5"/>
    </row>
    <row r="793" spans="1:28">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c r="AA793" s="5"/>
      <c r="AB793" s="5"/>
    </row>
    <row r="794" spans="1:28">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c r="AA794" s="5"/>
      <c r="AB794" s="5"/>
    </row>
    <row r="795" spans="1:28">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c r="AA795" s="5"/>
      <c r="AB795" s="5"/>
    </row>
    <row r="796" spans="1:28">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c r="AA796" s="5"/>
      <c r="AB796" s="5"/>
    </row>
    <row r="797" spans="1:28">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c r="AA797" s="5"/>
      <c r="AB797" s="5"/>
    </row>
    <row r="798" spans="1:28">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c r="AA798" s="5"/>
      <c r="AB798" s="5"/>
    </row>
    <row r="799" spans="1:28">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c r="AA799" s="5"/>
      <c r="AB799" s="5"/>
    </row>
    <row r="800" spans="1:28">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c r="AA800" s="5"/>
      <c r="AB800" s="5"/>
    </row>
    <row r="801" spans="1:28">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c r="AA801" s="5"/>
      <c r="AB801" s="5"/>
    </row>
    <row r="802" spans="1:28">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c r="AA802" s="5"/>
      <c r="AB802" s="5"/>
    </row>
    <row r="803" spans="1:28">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c r="AA803" s="5"/>
      <c r="AB803" s="5"/>
    </row>
    <row r="804" spans="1:28">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c r="AA804" s="5"/>
      <c r="AB804" s="5"/>
    </row>
    <row r="805" spans="1:28">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c r="AA805" s="5"/>
      <c r="AB805" s="5"/>
    </row>
    <row r="806" spans="1:28">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c r="AA806" s="5"/>
      <c r="AB806" s="5"/>
    </row>
    <row r="807" spans="1:28">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c r="AA807" s="5"/>
      <c r="AB807" s="5"/>
    </row>
    <row r="808" spans="1:28">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c r="AA808" s="5"/>
      <c r="AB808" s="5"/>
    </row>
    <row r="809" spans="1:28">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c r="AA809" s="5"/>
      <c r="AB809" s="5"/>
    </row>
    <row r="810" spans="1:28">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c r="AA810" s="5"/>
      <c r="AB810" s="5"/>
    </row>
    <row r="811" spans="1:28">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c r="AA811" s="5"/>
      <c r="AB811" s="5"/>
    </row>
    <row r="812" spans="1:28">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c r="AA812" s="5"/>
      <c r="AB812" s="5"/>
    </row>
    <row r="813" spans="1:28">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c r="AA813" s="5"/>
      <c r="AB813" s="5"/>
    </row>
    <row r="814" spans="1:28">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c r="AA814" s="5"/>
      <c r="AB814" s="5"/>
    </row>
    <row r="815" spans="1:28">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c r="AA815" s="5"/>
      <c r="AB815" s="5"/>
    </row>
    <row r="816" spans="1:28">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c r="AA816" s="5"/>
      <c r="AB816" s="5"/>
    </row>
    <row r="817" spans="1:28">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c r="AA817" s="5"/>
      <c r="AB817" s="5"/>
    </row>
    <row r="818" spans="1:28">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c r="AA818" s="5"/>
      <c r="AB818" s="5"/>
    </row>
    <row r="819" spans="1:28">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c r="AA819" s="5"/>
      <c r="AB819" s="5"/>
    </row>
    <row r="820" spans="1:28">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c r="AA820" s="5"/>
      <c r="AB820" s="5"/>
    </row>
    <row r="821" spans="1:28">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c r="AA821" s="5"/>
      <c r="AB821" s="5"/>
    </row>
    <row r="822" spans="1:28">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c r="AA822" s="5"/>
      <c r="AB822" s="5"/>
    </row>
    <row r="823" spans="1:28">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c r="AA823" s="5"/>
      <c r="AB823" s="5"/>
    </row>
    <row r="824" spans="1:28">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c r="AA824" s="5"/>
      <c r="AB824" s="5"/>
    </row>
    <row r="825" spans="1:28">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c r="AA825" s="5"/>
      <c r="AB825" s="5"/>
    </row>
    <row r="826" spans="1:28">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c r="AA826" s="5"/>
      <c r="AB826" s="5"/>
    </row>
    <row r="827" spans="1:28">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c r="AA827" s="5"/>
      <c r="AB827" s="5"/>
    </row>
    <row r="828" spans="1:28">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c r="AA828" s="5"/>
      <c r="AB828" s="5"/>
    </row>
    <row r="829" spans="1:28">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c r="AA829" s="5"/>
      <c r="AB829" s="5"/>
    </row>
    <row r="830" spans="1:28">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c r="AA830" s="5"/>
      <c r="AB830" s="5"/>
    </row>
    <row r="831" spans="1:28">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c r="AA831" s="5"/>
      <c r="AB831" s="5"/>
    </row>
    <row r="832" spans="1:28">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c r="AA832" s="5"/>
      <c r="AB832" s="5"/>
    </row>
    <row r="833" spans="1:28">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c r="AA833" s="5"/>
      <c r="AB833" s="5"/>
    </row>
    <row r="834" spans="1:28">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c r="AA834" s="5"/>
      <c r="AB834" s="5"/>
    </row>
    <row r="835" spans="1:28">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c r="AA835" s="5"/>
      <c r="AB835" s="5"/>
    </row>
    <row r="836" spans="1:28">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c r="AA836" s="5"/>
      <c r="AB836" s="5"/>
    </row>
    <row r="837" spans="1:28">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c r="AA837" s="5"/>
      <c r="AB837" s="5"/>
    </row>
    <row r="838" spans="1:28">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c r="AA838" s="5"/>
      <c r="AB838" s="5"/>
    </row>
    <row r="839" spans="1:28">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c r="AA839" s="5"/>
      <c r="AB839" s="5"/>
    </row>
    <row r="840" spans="1:28">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c r="AA840" s="5"/>
      <c r="AB840" s="5"/>
    </row>
    <row r="841" spans="1:28">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c r="AA841" s="5"/>
      <c r="AB841" s="5"/>
    </row>
    <row r="842" spans="1:28">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c r="AA842" s="5"/>
      <c r="AB842" s="5"/>
    </row>
    <row r="843" spans="1:28">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c r="AA843" s="5"/>
      <c r="AB843" s="5"/>
    </row>
    <row r="844" spans="1:28">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c r="AA844" s="5"/>
      <c r="AB844" s="5"/>
    </row>
    <row r="845" spans="1:28">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c r="AA845" s="5"/>
      <c r="AB845" s="5"/>
    </row>
    <row r="846" spans="1:28">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c r="AA846" s="5"/>
      <c r="AB846" s="5"/>
    </row>
    <row r="847" spans="1:28">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c r="AA847" s="5"/>
      <c r="AB847" s="5"/>
    </row>
    <row r="848" spans="1:28">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c r="AA848" s="5"/>
      <c r="AB848" s="5"/>
    </row>
    <row r="849" spans="1:28">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c r="AA849" s="5"/>
      <c r="AB849" s="5"/>
    </row>
    <row r="850" spans="1:28">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c r="AA850" s="5"/>
      <c r="AB850" s="5"/>
    </row>
    <row r="851" spans="1:28">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c r="AA851" s="5"/>
      <c r="AB851" s="5"/>
    </row>
    <row r="852" spans="1:28">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c r="AA852" s="5"/>
      <c r="AB852" s="5"/>
    </row>
    <row r="853" spans="1:28">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c r="AA853" s="5"/>
      <c r="AB853" s="5"/>
    </row>
    <row r="854" spans="1:28">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c r="AA854" s="5"/>
      <c r="AB854" s="5"/>
    </row>
    <row r="855" spans="1:28">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c r="AA855" s="5"/>
      <c r="AB855" s="5"/>
    </row>
    <row r="856" spans="1:28">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c r="AA856" s="5"/>
      <c r="AB856" s="5"/>
    </row>
    <row r="857" spans="1:28">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c r="AA857" s="5"/>
      <c r="AB857" s="5"/>
    </row>
    <row r="858" spans="1:28">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c r="AA858" s="5"/>
      <c r="AB858" s="5"/>
    </row>
    <row r="859" spans="1:28">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c r="AA859" s="5"/>
      <c r="AB859" s="5"/>
    </row>
    <row r="860" spans="1:28">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c r="AA860" s="5"/>
      <c r="AB860" s="5"/>
    </row>
    <row r="861" spans="1:28">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c r="AA861" s="5"/>
      <c r="AB861" s="5"/>
    </row>
    <row r="862" spans="1:28">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c r="AA862" s="5"/>
      <c r="AB862" s="5"/>
    </row>
    <row r="863" spans="1:28">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c r="AA863" s="5"/>
      <c r="AB863" s="5"/>
    </row>
    <row r="864" spans="1:28">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c r="AA864" s="5"/>
      <c r="AB864" s="5"/>
    </row>
    <row r="865" spans="1:28">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c r="AA865" s="5"/>
      <c r="AB865" s="5"/>
    </row>
    <row r="866" spans="1:28">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c r="AA866" s="5"/>
      <c r="AB866" s="5"/>
    </row>
    <row r="867" spans="1:28">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c r="AA867" s="5"/>
      <c r="AB867" s="5"/>
    </row>
    <row r="868" spans="1:28">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c r="AA868" s="5"/>
      <c r="AB868" s="5"/>
    </row>
    <row r="869" spans="1:28">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c r="AA869" s="5"/>
      <c r="AB869" s="5"/>
    </row>
    <row r="870" spans="1:28">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c r="AA870" s="5"/>
      <c r="AB870" s="5"/>
    </row>
    <row r="871" spans="1:28">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c r="AA871" s="5"/>
      <c r="AB871" s="5"/>
    </row>
    <row r="872" spans="1:28">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c r="AA872" s="5"/>
      <c r="AB872" s="5"/>
    </row>
    <row r="873" spans="1:28">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c r="AA873" s="5"/>
      <c r="AB873" s="5"/>
    </row>
    <row r="874" spans="1:28">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c r="AA874" s="5"/>
      <c r="AB874" s="5"/>
    </row>
    <row r="875" spans="1:28">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c r="AA875" s="5"/>
      <c r="AB875" s="5"/>
    </row>
    <row r="876" spans="1:28">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c r="AA876" s="5"/>
      <c r="AB876" s="5"/>
    </row>
    <row r="877" spans="1:28">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c r="AA877" s="5"/>
      <c r="AB877" s="5"/>
    </row>
    <row r="878" spans="1:28">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c r="AA878" s="5"/>
      <c r="AB878" s="5"/>
    </row>
    <row r="879" spans="1:28">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c r="AA879" s="5"/>
      <c r="AB879" s="5"/>
    </row>
    <row r="880" spans="1:28">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c r="AA880" s="5"/>
      <c r="AB880" s="5"/>
    </row>
    <row r="881" spans="1:28">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c r="AA881" s="5"/>
      <c r="AB881" s="5"/>
    </row>
    <row r="882" spans="1:28">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c r="AA882" s="5"/>
      <c r="AB882" s="5"/>
    </row>
    <row r="883" spans="1:28">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c r="AA883" s="5"/>
      <c r="AB883" s="5"/>
    </row>
    <row r="884" spans="1:28">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c r="AA884" s="5"/>
      <c r="AB884" s="5"/>
    </row>
    <row r="885" spans="1:28">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c r="AA885" s="5"/>
      <c r="AB885" s="5"/>
    </row>
    <row r="886" spans="1:28">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c r="AA886" s="5"/>
      <c r="AB886" s="5"/>
    </row>
    <row r="887" spans="1:28">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c r="AA887" s="5"/>
      <c r="AB887" s="5"/>
    </row>
    <row r="888" spans="1:28">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c r="AA888" s="5"/>
      <c r="AB888" s="5"/>
    </row>
    <row r="889" spans="1:28">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c r="AA889" s="5"/>
      <c r="AB889" s="5"/>
    </row>
    <row r="890" spans="1:28">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c r="AA890" s="5"/>
      <c r="AB890" s="5"/>
    </row>
    <row r="891" spans="1:28">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c r="AA891" s="5"/>
      <c r="AB891" s="5"/>
    </row>
    <row r="892" spans="1:28">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c r="AA892" s="5"/>
      <c r="AB892" s="5"/>
    </row>
    <row r="893" spans="1:28">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c r="AA893" s="5"/>
      <c r="AB893" s="5"/>
    </row>
    <row r="894" spans="1:28">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c r="AA894" s="5"/>
      <c r="AB894" s="5"/>
    </row>
    <row r="895" spans="1:28">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c r="AA895" s="5"/>
      <c r="AB895" s="5"/>
    </row>
    <row r="896" spans="1:28">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c r="AA896" s="5"/>
      <c r="AB896" s="5"/>
    </row>
    <row r="897" spans="1:28">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c r="AA897" s="5"/>
      <c r="AB897" s="5"/>
    </row>
    <row r="898" spans="1:28">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c r="AA898" s="5"/>
      <c r="AB898" s="5"/>
    </row>
    <row r="899" spans="1:28">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c r="AA899" s="5"/>
      <c r="AB899" s="5"/>
    </row>
    <row r="900" spans="1:28">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c r="AA900" s="5"/>
      <c r="AB900" s="5"/>
    </row>
    <row r="901" spans="1:28">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c r="AA901" s="5"/>
      <c r="AB901" s="5"/>
    </row>
    <row r="902" spans="1:28">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c r="AA902" s="5"/>
      <c r="AB902" s="5"/>
    </row>
    <row r="903" spans="1:28">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c r="AA903" s="5"/>
      <c r="AB903" s="5"/>
    </row>
    <row r="904" spans="1:28">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c r="AA904" s="5"/>
      <c r="AB904" s="5"/>
    </row>
    <row r="905" spans="1:28">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c r="AA905" s="5"/>
      <c r="AB905" s="5"/>
    </row>
    <row r="906" spans="1:28">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c r="AA906" s="5"/>
      <c r="AB906" s="5"/>
    </row>
    <row r="907" spans="1:28">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c r="AA907" s="5"/>
      <c r="AB907" s="5"/>
    </row>
    <row r="908" spans="1:28">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c r="AA908" s="5"/>
      <c r="AB908" s="5"/>
    </row>
    <row r="909" spans="1:28">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c r="AA909" s="5"/>
      <c r="AB909" s="5"/>
    </row>
    <row r="910" spans="1:28">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c r="AA910" s="5"/>
      <c r="AB910" s="5"/>
    </row>
    <row r="911" spans="1:28">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c r="AA911" s="5"/>
      <c r="AB911" s="5"/>
    </row>
    <row r="912" spans="1:28">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c r="AA912" s="5"/>
      <c r="AB912" s="5"/>
    </row>
    <row r="913" spans="1:28">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c r="AA913" s="5"/>
      <c r="AB913" s="5"/>
    </row>
    <row r="914" spans="1:28">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c r="AA914" s="5"/>
      <c r="AB914" s="5"/>
    </row>
    <row r="915" spans="1:28">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c r="AA915" s="5"/>
      <c r="AB915" s="5"/>
    </row>
    <row r="916" spans="1:28">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c r="AA916" s="5"/>
      <c r="AB916" s="5"/>
    </row>
    <row r="917" spans="1:28">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c r="AA917" s="5"/>
      <c r="AB917" s="5"/>
    </row>
    <row r="918" spans="1:28">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c r="AA918" s="5"/>
      <c r="AB918" s="5"/>
    </row>
    <row r="919" spans="1:28">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c r="AA919" s="5"/>
      <c r="AB919" s="5"/>
    </row>
    <row r="920" spans="1:28">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c r="AA920" s="5"/>
      <c r="AB920" s="5"/>
    </row>
    <row r="921" spans="1:28">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c r="AA921" s="5"/>
      <c r="AB921" s="5"/>
    </row>
    <row r="922" spans="1:28">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c r="AA922" s="5"/>
      <c r="AB922" s="5"/>
    </row>
    <row r="923" spans="1:28">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c r="AA923" s="5"/>
      <c r="AB923" s="5"/>
    </row>
    <row r="924" spans="1:28">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c r="AA924" s="5"/>
      <c r="AB924" s="5"/>
    </row>
    <row r="925" spans="1:28">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c r="AA925" s="5"/>
      <c r="AB925" s="5"/>
    </row>
    <row r="926" spans="1:28">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c r="AA926" s="5"/>
      <c r="AB926" s="5"/>
    </row>
    <row r="927" spans="1:28">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c r="AA927" s="5"/>
      <c r="AB927" s="5"/>
    </row>
    <row r="928" spans="1:28">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c r="AA928" s="5"/>
      <c r="AB928" s="5"/>
    </row>
    <row r="929" spans="1:28">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c r="AA929" s="5"/>
      <c r="AB929" s="5"/>
    </row>
    <row r="930" spans="1:28">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c r="AA930" s="5"/>
      <c r="AB930" s="5"/>
    </row>
    <row r="931" spans="1:28">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c r="AA931" s="5"/>
      <c r="AB931" s="5"/>
    </row>
    <row r="932" spans="1:28">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c r="AA932" s="5"/>
      <c r="AB932" s="5"/>
    </row>
    <row r="933" spans="1:28">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c r="AA933" s="5"/>
      <c r="AB933" s="5"/>
    </row>
    <row r="934" spans="1:28">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c r="AA934" s="5"/>
      <c r="AB934" s="5"/>
    </row>
    <row r="935" spans="1:28">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c r="AA935" s="5"/>
      <c r="AB935" s="5"/>
    </row>
    <row r="936" spans="1:28">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c r="AA936" s="5"/>
      <c r="AB936" s="5"/>
    </row>
    <row r="937" spans="1:28">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c r="AA937" s="5"/>
      <c r="AB937" s="5"/>
    </row>
    <row r="938" spans="1:28">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c r="AA938" s="5"/>
      <c r="AB938" s="5"/>
    </row>
    <row r="939" spans="1:28">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c r="AA939" s="5"/>
      <c r="AB939" s="5"/>
    </row>
    <row r="940" spans="1:28">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c r="AA940" s="5"/>
      <c r="AB940" s="5"/>
    </row>
    <row r="941" spans="1:28">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c r="AA941" s="5"/>
      <c r="AB941" s="5"/>
    </row>
    <row r="942" spans="1:28">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c r="AA942" s="5"/>
      <c r="AB942" s="5"/>
    </row>
    <row r="943" spans="1:28">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c r="AA943" s="5"/>
      <c r="AB943" s="5"/>
    </row>
    <row r="944" spans="1:28">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c r="AA944" s="5"/>
      <c r="AB944" s="5"/>
    </row>
    <row r="945" spans="1:28">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c r="AA945" s="5"/>
      <c r="AB945" s="5"/>
    </row>
    <row r="946" spans="1:28">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c r="AA946" s="5"/>
      <c r="AB946" s="5"/>
    </row>
    <row r="947" spans="1:28">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c r="AA947" s="5"/>
      <c r="AB947" s="5"/>
    </row>
    <row r="948" spans="1:28">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c r="AA948" s="5"/>
      <c r="AB948" s="5"/>
    </row>
    <row r="949" spans="1:28">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c r="AA949" s="5"/>
      <c r="AB949" s="5"/>
    </row>
    <row r="950" spans="1:28">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c r="AA950" s="5"/>
      <c r="AB950" s="5"/>
    </row>
    <row r="951" spans="1:28">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c r="AA951" s="5"/>
      <c r="AB951" s="5"/>
    </row>
    <row r="952" spans="1:28">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c r="AA952" s="5"/>
      <c r="AB952" s="5"/>
    </row>
    <row r="953" spans="1:28">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c r="AA953" s="5"/>
      <c r="AB953" s="5"/>
    </row>
    <row r="954" spans="1:28">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c r="AA954" s="5"/>
      <c r="AB954" s="5"/>
    </row>
    <row r="955" spans="1:28">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c r="AA955" s="5"/>
      <c r="AB955" s="5"/>
    </row>
    <row r="956" spans="1:28">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c r="AA956" s="5"/>
      <c r="AB956" s="5"/>
    </row>
    <row r="957" spans="1:28">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c r="AA957" s="5"/>
      <c r="AB957" s="5"/>
    </row>
    <row r="958" spans="1:28">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c r="AA958" s="5"/>
      <c r="AB958" s="5"/>
    </row>
    <row r="959" spans="1:28">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c r="AA959" s="5"/>
      <c r="AB959" s="5"/>
    </row>
    <row r="960" spans="1:28">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c r="AA960" s="5"/>
      <c r="AB960" s="5"/>
    </row>
    <row r="961" spans="1:28">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c r="AA961" s="5"/>
      <c r="AB961" s="5"/>
    </row>
    <row r="962" spans="1:28">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c r="AA962" s="5"/>
      <c r="AB962" s="5"/>
    </row>
    <row r="963" spans="1:28">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c r="AA963" s="5"/>
      <c r="AB963" s="5"/>
    </row>
    <row r="964" spans="1:28">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c r="AA964" s="5"/>
      <c r="AB964" s="5"/>
    </row>
    <row r="965" spans="1:28">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c r="AA965" s="5"/>
      <c r="AB965" s="5"/>
    </row>
    <row r="966" spans="1:28">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c r="AA966" s="5"/>
      <c r="AB966" s="5"/>
    </row>
    <row r="967" spans="1:28">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c r="AA967" s="5"/>
      <c r="AB967" s="5"/>
    </row>
    <row r="968" spans="1:28">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c r="AA968" s="5"/>
      <c r="AB968" s="5"/>
    </row>
    <row r="969" spans="1:28">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c r="AA969" s="5"/>
      <c r="AB969" s="5"/>
    </row>
    <row r="970" spans="1:28">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c r="AA970" s="5"/>
      <c r="AB970" s="5"/>
    </row>
    <row r="971" spans="1:28">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c r="AA971" s="5"/>
      <c r="AB971" s="5"/>
    </row>
    <row r="972" spans="1:28">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c r="AA972" s="5"/>
      <c r="AB972" s="5"/>
    </row>
    <row r="973" spans="1:28">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c r="AA973" s="5"/>
      <c r="AB973" s="5"/>
    </row>
    <row r="974" spans="1:28">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c r="AA974" s="5"/>
      <c r="AB974" s="5"/>
    </row>
    <row r="975" spans="1:28">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c r="AA975" s="5"/>
      <c r="AB975" s="5"/>
    </row>
    <row r="976" spans="1:28">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c r="AA976" s="5"/>
      <c r="AB976" s="5"/>
    </row>
    <row r="977" spans="1:28">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c r="AA977" s="5"/>
      <c r="AB977" s="5"/>
    </row>
    <row r="978" spans="1:28">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c r="AA978" s="5"/>
      <c r="AB978" s="5"/>
    </row>
    <row r="979" spans="1:28">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c r="AA979" s="5"/>
      <c r="AB979" s="5"/>
    </row>
    <row r="980" spans="1:28">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c r="AA980" s="5"/>
      <c r="AB980" s="5"/>
    </row>
    <row r="981" spans="1:28">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c r="AA981" s="5"/>
      <c r="AB981" s="5"/>
    </row>
    <row r="982" spans="1:28">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c r="AA982" s="5"/>
      <c r="AB982" s="5"/>
    </row>
    <row r="983" spans="1:28">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c r="AA983" s="5"/>
      <c r="AB983" s="5"/>
    </row>
    <row r="984" spans="1:28">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c r="AA984" s="5"/>
      <c r="AB984" s="5"/>
    </row>
    <row r="985" spans="1:28">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c r="AA985" s="5"/>
      <c r="AB985" s="5"/>
    </row>
    <row r="986" spans="1:28">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c r="AA986" s="5"/>
      <c r="AB986" s="5"/>
    </row>
    <row r="987" spans="1:28">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c r="AA987" s="5"/>
      <c r="AB987" s="5"/>
    </row>
    <row r="988" spans="1:28">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c r="AA988" s="5"/>
      <c r="AB988" s="5"/>
    </row>
    <row r="989" spans="1:28">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c r="AA989" s="5"/>
      <c r="AB989" s="5"/>
    </row>
    <row r="990" spans="1:28">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c r="AA990" s="5"/>
      <c r="AB990" s="5"/>
    </row>
    <row r="991" spans="1:28">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c r="AA991" s="5"/>
      <c r="AB991" s="5"/>
    </row>
    <row r="992" spans="1:28">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c r="AA992" s="5"/>
      <c r="AB992" s="5"/>
    </row>
    <row r="993" spans="1:28">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c r="AA993" s="5"/>
      <c r="AB993" s="5"/>
    </row>
    <row r="994" spans="1:28">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c r="AA994" s="5"/>
      <c r="AB994" s="5"/>
    </row>
    <row r="995" spans="1:28">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c r="AA995" s="5"/>
      <c r="AB995" s="5"/>
    </row>
    <row r="996" spans="1:28">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c r="AA996" s="5"/>
      <c r="AB996" s="5"/>
    </row>
    <row r="997" spans="1:28">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c r="AA997" s="5"/>
      <c r="AB997" s="5"/>
    </row>
    <row r="998" spans="1:28">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c r="AA998" s="5"/>
      <c r="AB998" s="5"/>
    </row>
    <row r="999" spans="1:28">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c r="AA999" s="5"/>
      <c r="AB999" s="5"/>
    </row>
    <row r="1000" spans="1:28">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c r="AA1000" s="5"/>
      <c r="AB1000" s="5"/>
    </row>
    <row r="1001" spans="1:28">
      <c r="A1001" s="5"/>
      <c r="B1001" s="5"/>
      <c r="C1001" s="5"/>
      <c r="D1001" s="5"/>
      <c r="E1001" s="5"/>
      <c r="F1001" s="5"/>
      <c r="G1001" s="5"/>
      <c r="H1001" s="5"/>
      <c r="I1001" s="5"/>
      <c r="J1001" s="5"/>
      <c r="K1001" s="5"/>
      <c r="L1001" s="5"/>
      <c r="M1001" s="5"/>
      <c r="N1001" s="5"/>
      <c r="O1001" s="5"/>
      <c r="P1001" s="5"/>
      <c r="Q1001" s="5"/>
      <c r="R1001" s="5"/>
      <c r="S1001" s="5"/>
      <c r="T1001" s="5"/>
      <c r="U1001" s="5"/>
      <c r="V1001" s="5"/>
      <c r="W1001" s="5"/>
      <c r="X1001" s="5"/>
      <c r="Y1001" s="5"/>
      <c r="Z1001" s="5"/>
      <c r="AA1001" s="5"/>
      <c r="AB1001" s="5"/>
    </row>
    <row r="1002" spans="1:28">
      <c r="A1002" s="5"/>
      <c r="B1002" s="5"/>
      <c r="C1002" s="5"/>
      <c r="D1002" s="5"/>
      <c r="E1002" s="5"/>
      <c r="F1002" s="5"/>
      <c r="G1002" s="5"/>
      <c r="H1002" s="5"/>
      <c r="I1002" s="5"/>
      <c r="J1002" s="5"/>
      <c r="K1002" s="5"/>
      <c r="L1002" s="5"/>
      <c r="M1002" s="5"/>
      <c r="N1002" s="5"/>
      <c r="O1002" s="5"/>
      <c r="P1002" s="5"/>
      <c r="Q1002" s="5"/>
      <c r="R1002" s="5"/>
      <c r="S1002" s="5"/>
      <c r="T1002" s="5"/>
      <c r="U1002" s="5"/>
      <c r="V1002" s="5"/>
      <c r="W1002" s="5"/>
      <c r="X1002" s="5"/>
      <c r="Y1002" s="5"/>
      <c r="Z1002" s="5"/>
      <c r="AA1002" s="5"/>
      <c r="AB1002" s="5"/>
    </row>
    <row r="1003" spans="1:28">
      <c r="A1003" s="5"/>
      <c r="B1003" s="5"/>
      <c r="C1003" s="5"/>
      <c r="D1003" s="5"/>
      <c r="E1003" s="5"/>
      <c r="F1003" s="5"/>
      <c r="G1003" s="5"/>
      <c r="H1003" s="5"/>
      <c r="I1003" s="5"/>
      <c r="J1003" s="5"/>
      <c r="K1003" s="5"/>
      <c r="L1003" s="5"/>
      <c r="M1003" s="5"/>
      <c r="N1003" s="5"/>
      <c r="O1003" s="5"/>
      <c r="P1003" s="5"/>
      <c r="Q1003" s="5"/>
      <c r="R1003" s="5"/>
      <c r="S1003" s="5"/>
      <c r="T1003" s="5"/>
      <c r="U1003" s="5"/>
      <c r="V1003" s="5"/>
      <c r="W1003" s="5"/>
      <c r="X1003" s="5"/>
      <c r="Y1003" s="5"/>
      <c r="Z1003" s="5"/>
      <c r="AA1003" s="5"/>
      <c r="AB1003" s="5"/>
    </row>
    <row r="1004" spans="1:28">
      <c r="A1004" s="5"/>
      <c r="B1004" s="5"/>
      <c r="C1004" s="5"/>
      <c r="D1004" s="5"/>
      <c r="E1004" s="5"/>
      <c r="F1004" s="5"/>
      <c r="G1004" s="5"/>
      <c r="H1004" s="5"/>
      <c r="I1004" s="5"/>
      <c r="J1004" s="5"/>
      <c r="K1004" s="5"/>
      <c r="L1004" s="5"/>
      <c r="M1004" s="5"/>
      <c r="N1004" s="5"/>
      <c r="O1004" s="5"/>
      <c r="P1004" s="5"/>
      <c r="Q1004" s="5"/>
      <c r="R1004" s="5"/>
      <c r="S1004" s="5"/>
      <c r="T1004" s="5"/>
      <c r="U1004" s="5"/>
      <c r="V1004" s="5"/>
      <c r="W1004" s="5"/>
      <c r="X1004" s="5"/>
      <c r="Y1004" s="5"/>
      <c r="Z1004" s="5"/>
      <c r="AA1004" s="5"/>
      <c r="AB1004" s="5"/>
    </row>
  </sheetData>
  <autoFilter ref="A2:I143" xr:uid="{00000000-0009-0000-0000-000001000000}"/>
  <mergeCells count="1">
    <mergeCell ref="A1:I1"/>
  </mergeCells>
  <pageMargins left="0.5" right="0.5" top="0.75" bottom="0.75" header="0" footer="0"/>
  <pageSetup scale="10" fitToHeight="0" orientation="portrait" r:id="rId1"/>
  <headerFooter>
    <oddFooter>&amp;C000000&amp;P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B1001"/>
  <sheetViews>
    <sheetView showGridLines="0" tabSelected="1" zoomScale="70" zoomScaleNormal="70" zoomScaleSheetLayoutView="37" workbookViewId="0">
      <pane xSplit="1" ySplit="2" topLeftCell="B3" activePane="bottomRight" state="frozen"/>
      <selection pane="topRight" activeCell="B1" sqref="B1"/>
      <selection pane="bottomLeft" activeCell="A3" sqref="A3"/>
      <selection pane="bottomRight" activeCell="G10" sqref="G10"/>
    </sheetView>
  </sheetViews>
  <sheetFormatPr baseColWidth="10" defaultColWidth="14.42578125" defaultRowHeight="12.75"/>
  <cols>
    <col min="1" max="1" width="43.140625" customWidth="1"/>
    <col min="2" max="9" width="15.140625" customWidth="1"/>
    <col min="10" max="28" width="92.5703125" customWidth="1"/>
  </cols>
  <sheetData>
    <row r="1" spans="1:28" ht="23.25">
      <c r="A1" s="43" t="s">
        <v>127</v>
      </c>
      <c r="B1" s="44"/>
      <c r="C1" s="44"/>
      <c r="D1" s="44"/>
      <c r="E1" s="44"/>
      <c r="F1" s="44"/>
      <c r="G1" s="44"/>
      <c r="H1" s="44"/>
      <c r="I1" s="44"/>
      <c r="J1" s="5"/>
      <c r="K1" s="5"/>
      <c r="L1" s="5"/>
      <c r="M1" s="5"/>
      <c r="N1" s="5"/>
      <c r="O1" s="5"/>
      <c r="P1" s="5"/>
      <c r="Q1" s="5"/>
      <c r="R1" s="5"/>
      <c r="S1" s="5"/>
      <c r="T1" s="5"/>
      <c r="U1" s="5"/>
      <c r="V1" s="5"/>
      <c r="W1" s="5"/>
      <c r="X1" s="5"/>
      <c r="Y1" s="5"/>
      <c r="Z1" s="5"/>
      <c r="AA1" s="5"/>
      <c r="AB1" s="5"/>
    </row>
    <row r="2" spans="1:28" ht="60.75">
      <c r="A2" s="26" t="s">
        <v>9</v>
      </c>
      <c r="B2" s="26" t="s">
        <v>118</v>
      </c>
      <c r="C2" s="6" t="s">
        <v>11</v>
      </c>
      <c r="D2" s="26" t="s">
        <v>12</v>
      </c>
      <c r="E2" s="62" t="s">
        <v>128</v>
      </c>
      <c r="F2" s="26" t="s">
        <v>119</v>
      </c>
      <c r="G2" s="26" t="s">
        <v>14</v>
      </c>
      <c r="H2" s="26" t="s">
        <v>15</v>
      </c>
      <c r="I2" s="26" t="s">
        <v>16</v>
      </c>
      <c r="J2" s="5"/>
      <c r="K2" s="5"/>
      <c r="L2" s="5"/>
      <c r="M2" s="5"/>
      <c r="N2" s="5"/>
      <c r="O2" s="5"/>
      <c r="P2" s="5"/>
      <c r="Q2" s="5"/>
      <c r="R2" s="5"/>
      <c r="S2" s="5"/>
      <c r="T2" s="5"/>
      <c r="U2" s="5"/>
      <c r="V2" s="5"/>
      <c r="W2" s="5"/>
      <c r="X2" s="5"/>
      <c r="Y2" s="5"/>
      <c r="Z2" s="5"/>
      <c r="AA2" s="5"/>
      <c r="AB2" s="5"/>
    </row>
    <row r="3" spans="1:28" ht="18">
      <c r="A3" s="27" t="s">
        <v>17</v>
      </c>
      <c r="B3" s="28"/>
      <c r="C3" s="29"/>
      <c r="D3" s="30"/>
      <c r="E3" s="30"/>
      <c r="F3" s="30"/>
      <c r="G3" s="31"/>
      <c r="H3" s="31"/>
      <c r="I3" s="31"/>
      <c r="J3" s="5"/>
      <c r="K3" s="5"/>
      <c r="L3" s="5"/>
      <c r="M3" s="5"/>
      <c r="N3" s="5"/>
      <c r="O3" s="5"/>
      <c r="P3" s="5"/>
      <c r="Q3" s="5"/>
      <c r="R3" s="5"/>
      <c r="S3" s="5"/>
      <c r="T3" s="5"/>
      <c r="U3" s="5"/>
      <c r="V3" s="5"/>
      <c r="W3" s="5"/>
      <c r="X3" s="5"/>
      <c r="Y3" s="5"/>
      <c r="Z3" s="5"/>
      <c r="AA3" s="5"/>
      <c r="AB3" s="5"/>
    </row>
    <row r="4" spans="1:28" ht="18">
      <c r="A4" s="32" t="s">
        <v>18</v>
      </c>
      <c r="B4" s="33">
        <v>2.294225</v>
      </c>
      <c r="C4" s="29">
        <v>2.38893625</v>
      </c>
      <c r="D4" s="34">
        <v>2.4883830625000001</v>
      </c>
      <c r="E4" s="34">
        <v>2.59</v>
      </c>
      <c r="F4" s="34">
        <f>SUM(D4,G4,H4)</f>
        <v>2.5928022156249999</v>
      </c>
      <c r="G4" s="35">
        <f>D4*0.05</f>
        <v>0.12441915312500001</v>
      </c>
      <c r="H4" s="36">
        <v>-0.02</v>
      </c>
      <c r="I4" s="35">
        <f>F4-D4</f>
        <v>0.10441915312499983</v>
      </c>
      <c r="J4" s="5"/>
      <c r="K4" s="5"/>
      <c r="L4" s="5"/>
      <c r="M4" s="5"/>
      <c r="N4" s="5"/>
      <c r="O4" s="5"/>
      <c r="P4" s="5"/>
      <c r="Q4" s="5"/>
      <c r="R4" s="5"/>
      <c r="S4" s="5"/>
      <c r="T4" s="5"/>
      <c r="U4" s="5"/>
      <c r="V4" s="5"/>
      <c r="W4" s="5"/>
      <c r="X4" s="5"/>
      <c r="Y4" s="5"/>
      <c r="Z4" s="5"/>
      <c r="AA4" s="5"/>
      <c r="AB4" s="5"/>
    </row>
    <row r="5" spans="1:28" ht="18">
      <c r="A5" s="37"/>
      <c r="B5" s="38"/>
      <c r="C5" s="29"/>
      <c r="D5" s="30"/>
      <c r="E5" s="30"/>
      <c r="F5" s="34"/>
      <c r="G5" s="35"/>
      <c r="H5" s="39"/>
      <c r="I5" s="35"/>
      <c r="J5" s="5"/>
      <c r="K5" s="5"/>
      <c r="L5" s="5"/>
      <c r="M5" s="5"/>
      <c r="N5" s="5"/>
      <c r="O5" s="5"/>
      <c r="P5" s="5"/>
      <c r="Q5" s="5"/>
      <c r="R5" s="5"/>
      <c r="S5" s="5"/>
      <c r="T5" s="5"/>
      <c r="U5" s="5"/>
      <c r="V5" s="5"/>
      <c r="W5" s="5"/>
      <c r="X5" s="5"/>
      <c r="Y5" s="5"/>
      <c r="Z5" s="5"/>
      <c r="AA5" s="5"/>
      <c r="AB5" s="5"/>
    </row>
    <row r="6" spans="1:28" ht="18">
      <c r="A6" s="40" t="s">
        <v>19</v>
      </c>
      <c r="B6" s="38"/>
      <c r="C6" s="29"/>
      <c r="D6" s="30"/>
      <c r="E6" s="30"/>
      <c r="F6" s="34"/>
      <c r="G6" s="35"/>
      <c r="H6" s="39"/>
      <c r="I6" s="35"/>
      <c r="J6" s="5"/>
      <c r="K6" s="5"/>
      <c r="L6" s="5"/>
      <c r="M6" s="5"/>
      <c r="N6" s="5"/>
      <c r="O6" s="5"/>
      <c r="P6" s="5"/>
      <c r="Q6" s="5"/>
      <c r="R6" s="5"/>
      <c r="S6" s="5"/>
      <c r="T6" s="5"/>
      <c r="U6" s="5"/>
      <c r="V6" s="5"/>
      <c r="W6" s="5"/>
      <c r="X6" s="5"/>
      <c r="Y6" s="5"/>
      <c r="Z6" s="5"/>
      <c r="AA6" s="5"/>
      <c r="AB6" s="5"/>
    </row>
    <row r="7" spans="1:28" ht="18">
      <c r="A7" s="32" t="s">
        <v>18</v>
      </c>
      <c r="B7" s="33">
        <v>4.7939749999999997</v>
      </c>
      <c r="C7" s="29">
        <v>5.0936737499999998</v>
      </c>
      <c r="D7" s="34">
        <v>5.2883574375000002</v>
      </c>
      <c r="E7" s="34">
        <v>5.39</v>
      </c>
      <c r="F7" s="34">
        <f t="shared" ref="F7:F8" si="0">SUM(D7,G7,H7)</f>
        <v>5.4927753093750002</v>
      </c>
      <c r="G7" s="35">
        <f t="shared" ref="G7:G8" si="1">D7*0.05</f>
        <v>0.26441787187500004</v>
      </c>
      <c r="H7" s="36">
        <v>-0.06</v>
      </c>
      <c r="I7" s="35">
        <f t="shared" ref="I7:I8" si="2">F7-D7</f>
        <v>0.20441787187500005</v>
      </c>
      <c r="J7" s="5"/>
      <c r="K7" s="5"/>
      <c r="L7" s="5"/>
      <c r="M7" s="5"/>
      <c r="N7" s="5"/>
      <c r="O7" s="5"/>
      <c r="P7" s="5"/>
      <c r="Q7" s="5"/>
      <c r="R7" s="5"/>
      <c r="S7" s="5"/>
      <c r="T7" s="5"/>
      <c r="U7" s="5"/>
      <c r="V7" s="5"/>
      <c r="W7" s="5"/>
      <c r="X7" s="5"/>
      <c r="Y7" s="5"/>
      <c r="Z7" s="5"/>
      <c r="AA7" s="5"/>
      <c r="AB7" s="5"/>
    </row>
    <row r="8" spans="1:28" ht="18">
      <c r="A8" s="32" t="s">
        <v>20</v>
      </c>
      <c r="B8" s="33">
        <v>3.3889749999999998</v>
      </c>
      <c r="C8" s="29">
        <v>3.5884237499999996</v>
      </c>
      <c r="D8" s="34">
        <v>3.7878449374999996</v>
      </c>
      <c r="E8" s="34">
        <v>4.3899999999999997</v>
      </c>
      <c r="F8" s="34">
        <f t="shared" si="0"/>
        <v>3.9872371843749992</v>
      </c>
      <c r="G8" s="35">
        <f t="shared" si="1"/>
        <v>0.189392246875</v>
      </c>
      <c r="H8" s="36">
        <v>0.01</v>
      </c>
      <c r="I8" s="35">
        <f t="shared" si="2"/>
        <v>0.19939224687499957</v>
      </c>
      <c r="J8" s="5"/>
      <c r="K8" s="5"/>
      <c r="L8" s="5"/>
      <c r="M8" s="5"/>
      <c r="N8" s="5"/>
      <c r="O8" s="5"/>
      <c r="P8" s="5"/>
      <c r="Q8" s="5"/>
      <c r="R8" s="5"/>
      <c r="S8" s="5"/>
      <c r="T8" s="5"/>
      <c r="U8" s="5"/>
      <c r="V8" s="5"/>
      <c r="W8" s="5"/>
      <c r="X8" s="5"/>
      <c r="Y8" s="5"/>
      <c r="Z8" s="5"/>
      <c r="AA8" s="5"/>
      <c r="AB8" s="5"/>
    </row>
    <row r="9" spans="1:28" ht="18">
      <c r="A9" s="37"/>
      <c r="B9" s="38"/>
      <c r="C9" s="29"/>
      <c r="D9" s="30"/>
      <c r="E9" s="30"/>
      <c r="F9" s="34"/>
      <c r="G9" s="35"/>
      <c r="H9" s="39"/>
      <c r="I9" s="35"/>
      <c r="J9" s="5"/>
      <c r="K9" s="5"/>
      <c r="L9" s="5"/>
      <c r="M9" s="5"/>
      <c r="N9" s="5"/>
      <c r="O9" s="5"/>
      <c r="P9" s="5"/>
      <c r="Q9" s="5"/>
      <c r="R9" s="5"/>
      <c r="S9" s="5"/>
      <c r="T9" s="5"/>
      <c r="U9" s="5"/>
      <c r="V9" s="5"/>
      <c r="W9" s="5"/>
      <c r="X9" s="5"/>
      <c r="Y9" s="5"/>
      <c r="Z9" s="5"/>
      <c r="AA9" s="5"/>
      <c r="AB9" s="5"/>
    </row>
    <row r="10" spans="1:28" ht="18">
      <c r="A10" s="40" t="s">
        <v>21</v>
      </c>
      <c r="B10" s="38"/>
      <c r="C10" s="29"/>
      <c r="D10" s="30"/>
      <c r="E10" s="30"/>
      <c r="F10" s="34"/>
      <c r="G10" s="35"/>
      <c r="H10" s="39"/>
      <c r="I10" s="35"/>
      <c r="J10" s="5"/>
      <c r="K10" s="5"/>
      <c r="L10" s="5"/>
      <c r="M10" s="5"/>
      <c r="N10" s="5"/>
      <c r="O10" s="5"/>
      <c r="P10" s="5"/>
      <c r="Q10" s="5"/>
      <c r="R10" s="5"/>
      <c r="S10" s="5"/>
      <c r="T10" s="5"/>
      <c r="U10" s="5"/>
      <c r="V10" s="5"/>
      <c r="W10" s="5"/>
      <c r="X10" s="5"/>
      <c r="Y10" s="5"/>
      <c r="Z10" s="5"/>
      <c r="AA10" s="5"/>
      <c r="AB10" s="5"/>
    </row>
    <row r="11" spans="1:28" ht="18">
      <c r="A11" s="32" t="s">
        <v>18</v>
      </c>
      <c r="B11" s="33">
        <v>5.7939749999999997</v>
      </c>
      <c r="C11" s="29">
        <v>6.0936737499999998</v>
      </c>
      <c r="D11" s="34">
        <v>6.3883574374999998</v>
      </c>
      <c r="E11" s="34">
        <v>6.79</v>
      </c>
      <c r="F11" s="34">
        <f t="shared" ref="F11:F12" si="3">SUM(D11,G11,H11)</f>
        <v>6.6877753093750005</v>
      </c>
      <c r="G11" s="35">
        <f t="shared" ref="G11:G12" si="4">D11*0.05</f>
        <v>0.31941787187500004</v>
      </c>
      <c r="H11" s="36">
        <v>-0.02</v>
      </c>
      <c r="I11" s="35">
        <f t="shared" ref="I11:I12" si="5">F11-D11</f>
        <v>0.29941787187500069</v>
      </c>
      <c r="J11" s="5"/>
      <c r="K11" s="5"/>
      <c r="L11" s="5"/>
      <c r="M11" s="5"/>
      <c r="N11" s="5"/>
      <c r="O11" s="5"/>
      <c r="P11" s="5"/>
      <c r="Q11" s="5"/>
      <c r="R11" s="5"/>
      <c r="S11" s="5"/>
      <c r="T11" s="5"/>
      <c r="U11" s="5"/>
      <c r="V11" s="5"/>
      <c r="W11" s="5"/>
      <c r="X11" s="5"/>
      <c r="Y11" s="5"/>
      <c r="Z11" s="5"/>
      <c r="AA11" s="5"/>
      <c r="AB11" s="5"/>
    </row>
    <row r="12" spans="1:28" ht="18">
      <c r="A12" s="32" t="s">
        <v>20</v>
      </c>
      <c r="B12" s="33">
        <v>4.7939749999999997</v>
      </c>
      <c r="C12" s="29">
        <v>5.0936737499999998</v>
      </c>
      <c r="D12" s="34">
        <v>5.2883574375000002</v>
      </c>
      <c r="E12" s="34">
        <v>5.39</v>
      </c>
      <c r="F12" s="34">
        <f t="shared" si="3"/>
        <v>5.4927753093750002</v>
      </c>
      <c r="G12" s="35">
        <f t="shared" si="4"/>
        <v>0.26441787187500004</v>
      </c>
      <c r="H12" s="36">
        <v>-0.06</v>
      </c>
      <c r="I12" s="35">
        <f t="shared" si="5"/>
        <v>0.20441787187500005</v>
      </c>
      <c r="J12" s="5"/>
      <c r="K12" s="5"/>
      <c r="L12" s="5"/>
      <c r="M12" s="5"/>
      <c r="N12" s="5"/>
      <c r="O12" s="5"/>
      <c r="P12" s="5"/>
      <c r="Q12" s="5"/>
      <c r="R12" s="5"/>
      <c r="S12" s="5"/>
      <c r="T12" s="5"/>
      <c r="U12" s="5"/>
      <c r="V12" s="5"/>
      <c r="W12" s="5"/>
      <c r="X12" s="5"/>
      <c r="Y12" s="5"/>
      <c r="Z12" s="5"/>
      <c r="AA12" s="5"/>
      <c r="AB12" s="5"/>
    </row>
    <row r="13" spans="1:28" ht="18">
      <c r="A13" s="37"/>
      <c r="B13" s="38"/>
      <c r="C13" s="29"/>
      <c r="D13" s="30"/>
      <c r="E13" s="30"/>
      <c r="F13" s="34"/>
      <c r="G13" s="35"/>
      <c r="H13" s="39"/>
      <c r="I13" s="35"/>
      <c r="J13" s="5"/>
      <c r="K13" s="5"/>
      <c r="L13" s="5"/>
      <c r="M13" s="5"/>
      <c r="N13" s="5"/>
      <c r="O13" s="5"/>
      <c r="P13" s="5"/>
      <c r="Q13" s="5"/>
      <c r="R13" s="5"/>
      <c r="S13" s="5"/>
      <c r="T13" s="5"/>
      <c r="U13" s="5"/>
      <c r="V13" s="5"/>
      <c r="W13" s="5"/>
      <c r="X13" s="5"/>
      <c r="Y13" s="5"/>
      <c r="Z13" s="5"/>
      <c r="AA13" s="5"/>
      <c r="AB13" s="5"/>
    </row>
    <row r="14" spans="1:28" ht="18">
      <c r="A14" s="40" t="s">
        <v>22</v>
      </c>
      <c r="B14" s="38"/>
      <c r="C14" s="29"/>
      <c r="D14" s="30"/>
      <c r="E14" s="30"/>
      <c r="F14" s="34"/>
      <c r="G14" s="35"/>
      <c r="H14" s="39"/>
      <c r="I14" s="35"/>
      <c r="J14" s="5"/>
      <c r="K14" s="5"/>
      <c r="L14" s="5"/>
      <c r="M14" s="5"/>
      <c r="N14" s="5"/>
      <c r="O14" s="5"/>
      <c r="P14" s="5"/>
      <c r="Q14" s="5"/>
      <c r="R14" s="5"/>
      <c r="S14" s="5"/>
      <c r="T14" s="5"/>
      <c r="U14" s="5"/>
      <c r="V14" s="5"/>
      <c r="W14" s="5"/>
      <c r="X14" s="5"/>
      <c r="Y14" s="5"/>
      <c r="Z14" s="5"/>
      <c r="AA14" s="5"/>
      <c r="AB14" s="5"/>
    </row>
    <row r="15" spans="1:28" ht="18">
      <c r="A15" s="32" t="s">
        <v>23</v>
      </c>
      <c r="B15" s="33">
        <v>4.7939749999999997</v>
      </c>
      <c r="C15" s="29">
        <v>5.08367375</v>
      </c>
      <c r="D15" s="34">
        <v>5.2878574375000005</v>
      </c>
      <c r="E15" s="34">
        <v>5.39</v>
      </c>
      <c r="F15" s="34">
        <f t="shared" ref="F15:F16" si="6">SUM(D15,G15,H15)</f>
        <v>5.5922503093750002</v>
      </c>
      <c r="G15" s="35">
        <f t="shared" ref="G15:G16" si="7">D15*0.05</f>
        <v>0.26439287187500005</v>
      </c>
      <c r="H15" s="36">
        <v>0.04</v>
      </c>
      <c r="I15" s="35">
        <f t="shared" ref="I15:I16" si="8">F15-D15</f>
        <v>0.30439287187499975</v>
      </c>
      <c r="J15" s="5"/>
      <c r="K15" s="5"/>
      <c r="L15" s="5"/>
      <c r="M15" s="5"/>
      <c r="N15" s="5"/>
      <c r="O15" s="5"/>
      <c r="P15" s="5"/>
      <c r="Q15" s="5"/>
      <c r="R15" s="5"/>
      <c r="S15" s="5"/>
      <c r="T15" s="5"/>
      <c r="U15" s="5"/>
      <c r="V15" s="5"/>
      <c r="W15" s="5"/>
      <c r="X15" s="5"/>
      <c r="Y15" s="5"/>
      <c r="Z15" s="5"/>
      <c r="AA15" s="5"/>
      <c r="AB15" s="5"/>
    </row>
    <row r="16" spans="1:28" ht="18">
      <c r="A16" s="32" t="s">
        <v>24</v>
      </c>
      <c r="B16" s="33">
        <v>3.588975</v>
      </c>
      <c r="C16" s="29">
        <v>3.7884237500000002</v>
      </c>
      <c r="D16" s="34">
        <v>3.9878449375000002</v>
      </c>
      <c r="E16" s="34">
        <v>4.3899999999999997</v>
      </c>
      <c r="F16" s="34">
        <f t="shared" si="6"/>
        <v>4.1872371843750003</v>
      </c>
      <c r="G16" s="35">
        <f t="shared" si="7"/>
        <v>0.19939224687500001</v>
      </c>
      <c r="H16" s="36">
        <v>0</v>
      </c>
      <c r="I16" s="35">
        <f t="shared" si="8"/>
        <v>0.19939224687500001</v>
      </c>
      <c r="J16" s="5"/>
      <c r="K16" s="5"/>
      <c r="L16" s="5"/>
      <c r="M16" s="5"/>
      <c r="N16" s="5"/>
      <c r="O16" s="5"/>
      <c r="P16" s="5"/>
      <c r="Q16" s="5"/>
      <c r="R16" s="5"/>
      <c r="S16" s="5"/>
      <c r="T16" s="5"/>
      <c r="U16" s="5"/>
      <c r="V16" s="5"/>
      <c r="W16" s="5"/>
      <c r="X16" s="5"/>
      <c r="Y16" s="5"/>
      <c r="Z16" s="5"/>
      <c r="AA16" s="5"/>
      <c r="AB16" s="5"/>
    </row>
    <row r="17" spans="1:28" ht="18">
      <c r="A17" s="37"/>
      <c r="B17" s="38"/>
      <c r="C17" s="29"/>
      <c r="D17" s="30"/>
      <c r="E17" s="30"/>
      <c r="F17" s="34"/>
      <c r="G17" s="35"/>
      <c r="H17" s="39"/>
      <c r="I17" s="35"/>
      <c r="J17" s="5"/>
      <c r="K17" s="5"/>
      <c r="L17" s="5"/>
      <c r="M17" s="5"/>
      <c r="N17" s="5"/>
      <c r="O17" s="5"/>
      <c r="P17" s="5"/>
      <c r="Q17" s="5"/>
      <c r="R17" s="5"/>
      <c r="S17" s="5"/>
      <c r="T17" s="5"/>
      <c r="U17" s="5"/>
      <c r="V17" s="5"/>
      <c r="W17" s="5"/>
      <c r="X17" s="5"/>
      <c r="Y17" s="5"/>
      <c r="Z17" s="5"/>
      <c r="AA17" s="5"/>
      <c r="AB17" s="5"/>
    </row>
    <row r="18" spans="1:28" ht="18">
      <c r="A18" s="40" t="s">
        <v>25</v>
      </c>
      <c r="B18" s="38"/>
      <c r="C18" s="29"/>
      <c r="D18" s="30"/>
      <c r="E18" s="30"/>
      <c r="F18" s="34"/>
      <c r="G18" s="35"/>
      <c r="H18" s="39"/>
      <c r="I18" s="35"/>
      <c r="J18" s="5"/>
      <c r="K18" s="5"/>
      <c r="L18" s="5"/>
      <c r="M18" s="5"/>
      <c r="N18" s="5"/>
      <c r="O18" s="5"/>
      <c r="P18" s="5"/>
      <c r="Q18" s="5"/>
      <c r="R18" s="5"/>
      <c r="S18" s="5"/>
      <c r="T18" s="5"/>
      <c r="U18" s="5"/>
      <c r="V18" s="5"/>
      <c r="W18" s="5"/>
      <c r="X18" s="5"/>
      <c r="Y18" s="5"/>
      <c r="Z18" s="5"/>
      <c r="AA18" s="5"/>
      <c r="AB18" s="5"/>
    </row>
    <row r="19" spans="1:28" ht="18">
      <c r="A19" s="32" t="s">
        <v>18</v>
      </c>
      <c r="B19" s="33">
        <v>8.7889750000000006</v>
      </c>
      <c r="C19" s="29">
        <v>9.1884237500000019</v>
      </c>
      <c r="D19" s="34">
        <v>9.5878449375000017</v>
      </c>
      <c r="E19" s="34">
        <v>10.29</v>
      </c>
      <c r="F19" s="34">
        <f t="shared" ref="F19:F20" si="9">SUM(D19,G19,H19)</f>
        <v>9.987237184375001</v>
      </c>
      <c r="G19" s="35">
        <f t="shared" ref="G19:G20" si="10">D19*0.05</f>
        <v>0.47939224687500009</v>
      </c>
      <c r="H19" s="36">
        <v>-0.08</v>
      </c>
      <c r="I19" s="35">
        <f t="shared" ref="I19:I20" si="11">F19-D19</f>
        <v>0.3993922468749993</v>
      </c>
      <c r="J19" s="5"/>
      <c r="K19" s="5"/>
      <c r="L19" s="5"/>
      <c r="M19" s="5"/>
      <c r="N19" s="5"/>
      <c r="O19" s="5"/>
      <c r="P19" s="5"/>
      <c r="Q19" s="5"/>
      <c r="R19" s="5"/>
      <c r="S19" s="5"/>
      <c r="T19" s="5"/>
      <c r="U19" s="5"/>
      <c r="V19" s="5"/>
      <c r="W19" s="5"/>
      <c r="X19" s="5"/>
      <c r="Y19" s="5"/>
      <c r="Z19" s="5"/>
      <c r="AA19" s="5"/>
      <c r="AB19" s="5"/>
    </row>
    <row r="20" spans="1:28" ht="18">
      <c r="A20" s="32" t="s">
        <v>26</v>
      </c>
      <c r="B20" s="33">
        <v>5.5939750000000004</v>
      </c>
      <c r="C20" s="29">
        <v>5.8936737500000005</v>
      </c>
      <c r="D20" s="34">
        <v>6.1883574375000006</v>
      </c>
      <c r="E20" s="34">
        <v>6.79</v>
      </c>
      <c r="F20" s="34">
        <f t="shared" si="9"/>
        <v>6.4877753093750012</v>
      </c>
      <c r="G20" s="35">
        <f t="shared" si="10"/>
        <v>0.30941787187500003</v>
      </c>
      <c r="H20" s="36">
        <v>-0.01</v>
      </c>
      <c r="I20" s="35">
        <f t="shared" si="11"/>
        <v>0.29941787187500069</v>
      </c>
      <c r="J20" s="5"/>
      <c r="K20" s="5"/>
      <c r="L20" s="5"/>
      <c r="M20" s="5"/>
      <c r="N20" s="5"/>
      <c r="O20" s="5"/>
      <c r="P20" s="5"/>
      <c r="Q20" s="5"/>
      <c r="R20" s="5"/>
      <c r="S20" s="5"/>
      <c r="T20" s="5"/>
      <c r="U20" s="5"/>
      <c r="V20" s="5"/>
      <c r="W20" s="5"/>
      <c r="X20" s="5"/>
      <c r="Y20" s="5"/>
      <c r="Z20" s="5"/>
      <c r="AA20" s="5"/>
      <c r="AB20" s="5"/>
    </row>
    <row r="21" spans="1:28" ht="18">
      <c r="A21" s="32" t="s">
        <v>120</v>
      </c>
      <c r="B21" s="41" t="s">
        <v>121</v>
      </c>
      <c r="C21" s="29" t="s">
        <v>121</v>
      </c>
      <c r="D21" s="41" t="s">
        <v>121</v>
      </c>
      <c r="E21" s="61"/>
      <c r="F21" s="34"/>
      <c r="G21" s="35"/>
      <c r="H21" s="36">
        <v>0</v>
      </c>
      <c r="I21" s="35"/>
      <c r="J21" s="5"/>
      <c r="K21" s="5"/>
      <c r="L21" s="5"/>
      <c r="M21" s="5"/>
      <c r="N21" s="5"/>
      <c r="O21" s="5"/>
      <c r="P21" s="5"/>
      <c r="Q21" s="5"/>
      <c r="R21" s="5"/>
      <c r="S21" s="5"/>
      <c r="T21" s="5"/>
      <c r="U21" s="5"/>
      <c r="V21" s="5"/>
      <c r="W21" s="5"/>
      <c r="X21" s="5"/>
      <c r="Y21" s="5"/>
      <c r="Z21" s="5"/>
      <c r="AA21" s="5"/>
      <c r="AB21" s="5"/>
    </row>
    <row r="22" spans="1:28" ht="18">
      <c r="A22" s="37"/>
      <c r="B22" s="38"/>
      <c r="C22" s="29"/>
      <c r="D22" s="30"/>
      <c r="E22" s="30"/>
      <c r="F22" s="34"/>
      <c r="G22" s="35"/>
      <c r="H22" s="39"/>
      <c r="I22" s="35"/>
      <c r="J22" s="5"/>
      <c r="K22" s="5"/>
      <c r="L22" s="5"/>
      <c r="M22" s="5"/>
      <c r="N22" s="5"/>
      <c r="O22" s="5"/>
      <c r="P22" s="5"/>
      <c r="Q22" s="5"/>
      <c r="R22" s="5"/>
      <c r="S22" s="5"/>
      <c r="T22" s="5"/>
      <c r="U22" s="5"/>
      <c r="V22" s="5"/>
      <c r="W22" s="5"/>
      <c r="X22" s="5"/>
      <c r="Y22" s="5"/>
      <c r="Z22" s="5"/>
      <c r="AA22" s="5"/>
      <c r="AB22" s="5"/>
    </row>
    <row r="23" spans="1:28" ht="18">
      <c r="A23" s="40" t="s">
        <v>28</v>
      </c>
      <c r="B23" s="38"/>
      <c r="C23" s="29"/>
      <c r="D23" s="30"/>
      <c r="E23" s="30"/>
      <c r="F23" s="34"/>
      <c r="G23" s="35"/>
      <c r="H23" s="39"/>
      <c r="I23" s="35"/>
      <c r="J23" s="5"/>
      <c r="K23" s="5"/>
      <c r="L23" s="5"/>
      <c r="M23" s="5"/>
      <c r="N23" s="5"/>
      <c r="O23" s="5"/>
      <c r="P23" s="5"/>
      <c r="Q23" s="5"/>
      <c r="R23" s="5"/>
      <c r="S23" s="5"/>
      <c r="T23" s="5"/>
      <c r="U23" s="5"/>
      <c r="V23" s="5"/>
      <c r="W23" s="5"/>
      <c r="X23" s="5"/>
      <c r="Y23" s="5"/>
      <c r="Z23" s="5"/>
      <c r="AA23" s="5"/>
      <c r="AB23" s="5"/>
    </row>
    <row r="24" spans="1:28" ht="18">
      <c r="A24" s="32" t="s">
        <v>18</v>
      </c>
      <c r="B24" s="33">
        <v>9.9939750000000007</v>
      </c>
      <c r="C24" s="29">
        <v>10.493673750000001</v>
      </c>
      <c r="D24" s="34">
        <v>10.988357437500001</v>
      </c>
      <c r="E24" s="34">
        <v>12.99</v>
      </c>
      <c r="F24" s="34">
        <f>SUM(D24,G24,H24)</f>
        <v>11.487775309375001</v>
      </c>
      <c r="G24" s="35">
        <f>D24*0.05</f>
        <v>0.54941787187500013</v>
      </c>
      <c r="H24" s="36">
        <v>-0.05</v>
      </c>
      <c r="I24" s="35">
        <f>F24-D24</f>
        <v>0.49941787187499997</v>
      </c>
      <c r="J24" s="5"/>
      <c r="K24" s="5"/>
      <c r="L24" s="5"/>
      <c r="M24" s="5"/>
      <c r="N24" s="5"/>
      <c r="O24" s="5"/>
      <c r="P24" s="5"/>
      <c r="Q24" s="5"/>
      <c r="R24" s="5"/>
      <c r="S24" s="5"/>
      <c r="T24" s="5"/>
      <c r="U24" s="5"/>
      <c r="V24" s="5"/>
      <c r="W24" s="5"/>
      <c r="X24" s="5"/>
      <c r="Y24" s="5"/>
      <c r="Z24" s="5"/>
      <c r="AA24" s="5"/>
      <c r="AB24" s="5"/>
    </row>
    <row r="25" spans="1:28" ht="18">
      <c r="A25" s="37"/>
      <c r="B25" s="38"/>
      <c r="C25" s="29"/>
      <c r="D25" s="30"/>
      <c r="E25" s="30"/>
      <c r="F25" s="34"/>
      <c r="G25" s="35"/>
      <c r="H25" s="39"/>
      <c r="I25" s="35"/>
      <c r="J25" s="5"/>
      <c r="K25" s="5"/>
      <c r="L25" s="5"/>
      <c r="M25" s="5"/>
      <c r="N25" s="5"/>
      <c r="O25" s="5"/>
      <c r="P25" s="5"/>
      <c r="Q25" s="5"/>
      <c r="R25" s="5"/>
      <c r="S25" s="5"/>
      <c r="T25" s="5"/>
      <c r="U25" s="5"/>
      <c r="V25" s="5"/>
      <c r="W25" s="5"/>
      <c r="X25" s="5"/>
      <c r="Y25" s="5"/>
      <c r="Z25" s="5"/>
      <c r="AA25" s="5"/>
      <c r="AB25" s="5"/>
    </row>
    <row r="26" spans="1:28" ht="18">
      <c r="A26" s="40" t="s">
        <v>29</v>
      </c>
      <c r="B26" s="38"/>
      <c r="C26" s="29"/>
      <c r="D26" s="30"/>
      <c r="E26" s="30"/>
      <c r="F26" s="34"/>
      <c r="G26" s="35"/>
      <c r="H26" s="39"/>
      <c r="I26" s="35"/>
      <c r="J26" s="5"/>
      <c r="K26" s="5"/>
      <c r="L26" s="5"/>
      <c r="M26" s="5"/>
      <c r="N26" s="5"/>
      <c r="O26" s="5"/>
      <c r="P26" s="5"/>
      <c r="Q26" s="5"/>
      <c r="R26" s="5"/>
      <c r="S26" s="5"/>
      <c r="T26" s="5"/>
      <c r="U26" s="5"/>
      <c r="V26" s="5"/>
      <c r="W26" s="5"/>
      <c r="X26" s="5"/>
      <c r="Y26" s="5"/>
      <c r="Z26" s="5"/>
      <c r="AA26" s="5"/>
      <c r="AB26" s="5"/>
    </row>
    <row r="27" spans="1:28" ht="18">
      <c r="A27" s="32" t="s">
        <v>18</v>
      </c>
      <c r="B27" s="33">
        <v>9.4942250000000001</v>
      </c>
      <c r="C27" s="29">
        <v>9.9889362500000001</v>
      </c>
      <c r="D27" s="34">
        <v>10.488383062500001</v>
      </c>
      <c r="E27" s="34">
        <v>10.89</v>
      </c>
      <c r="F27" s="34">
        <f t="shared" ref="F27:F28" si="12">SUM(D27,G27,H27)</f>
        <v>10.992802215625002</v>
      </c>
      <c r="G27" s="35">
        <f t="shared" ref="G27:G28" si="13">D27*0.05</f>
        <v>0.52441915312500009</v>
      </c>
      <c r="H27" s="36">
        <v>-0.02</v>
      </c>
      <c r="I27" s="35">
        <f t="shared" ref="I27:I28" si="14">F27-D27</f>
        <v>0.50441915312500107</v>
      </c>
      <c r="J27" s="5"/>
      <c r="K27" s="5"/>
      <c r="L27" s="5"/>
      <c r="M27" s="5"/>
      <c r="N27" s="5"/>
      <c r="O27" s="5"/>
      <c r="P27" s="5"/>
      <c r="Q27" s="5"/>
      <c r="R27" s="5"/>
      <c r="S27" s="5"/>
      <c r="T27" s="5"/>
      <c r="U27" s="5"/>
      <c r="V27" s="5"/>
      <c r="W27" s="5"/>
      <c r="X27" s="5"/>
      <c r="Y27" s="5"/>
      <c r="Z27" s="5"/>
      <c r="AA27" s="5"/>
      <c r="AB27" s="5"/>
    </row>
    <row r="28" spans="1:28" ht="18">
      <c r="A28" s="32" t="s">
        <v>30</v>
      </c>
      <c r="B28" s="33">
        <v>9.9939750000000007</v>
      </c>
      <c r="C28" s="29">
        <v>10.496673750000001</v>
      </c>
      <c r="D28" s="34">
        <v>10.991507437500001</v>
      </c>
      <c r="E28" s="34">
        <v>11.89</v>
      </c>
      <c r="F28" s="34">
        <f t="shared" si="12"/>
        <v>11.491082809375001</v>
      </c>
      <c r="G28" s="35">
        <f t="shared" si="13"/>
        <v>0.54957537187500005</v>
      </c>
      <c r="H28" s="36">
        <v>-0.05</v>
      </c>
      <c r="I28" s="35">
        <f t="shared" si="14"/>
        <v>0.49957537187500023</v>
      </c>
      <c r="J28" s="5"/>
      <c r="K28" s="5"/>
      <c r="L28" s="5"/>
      <c r="M28" s="5"/>
      <c r="N28" s="5"/>
      <c r="O28" s="5"/>
      <c r="P28" s="5"/>
      <c r="Q28" s="5"/>
      <c r="R28" s="5"/>
      <c r="S28" s="5"/>
      <c r="T28" s="5"/>
      <c r="U28" s="5"/>
      <c r="V28" s="5"/>
      <c r="W28" s="5"/>
      <c r="X28" s="5"/>
      <c r="Y28" s="5"/>
      <c r="Z28" s="5"/>
      <c r="AA28" s="5"/>
      <c r="AB28" s="5"/>
    </row>
    <row r="29" spans="1:28" ht="18">
      <c r="A29" s="32" t="s">
        <v>122</v>
      </c>
      <c r="B29" s="41" t="s">
        <v>121</v>
      </c>
      <c r="C29" s="29" t="s">
        <v>121</v>
      </c>
      <c r="D29" s="41" t="s">
        <v>121</v>
      </c>
      <c r="E29" s="61"/>
      <c r="F29" s="34"/>
      <c r="G29" s="35"/>
      <c r="H29" s="36"/>
      <c r="I29" s="35"/>
      <c r="J29" s="5"/>
      <c r="K29" s="5"/>
      <c r="L29" s="5"/>
      <c r="M29" s="5"/>
      <c r="N29" s="5"/>
      <c r="O29" s="5"/>
      <c r="P29" s="5"/>
      <c r="Q29" s="5"/>
      <c r="R29" s="5"/>
      <c r="S29" s="5"/>
      <c r="T29" s="5"/>
      <c r="U29" s="5"/>
      <c r="V29" s="5"/>
      <c r="W29" s="5"/>
      <c r="X29" s="5"/>
      <c r="Y29" s="5"/>
      <c r="Z29" s="5"/>
      <c r="AA29" s="5"/>
      <c r="AB29" s="5"/>
    </row>
    <row r="30" spans="1:28" ht="18">
      <c r="A30" s="32" t="s">
        <v>32</v>
      </c>
      <c r="B30" s="41" t="s">
        <v>121</v>
      </c>
      <c r="C30" s="29" t="s">
        <v>121</v>
      </c>
      <c r="D30" s="41" t="s">
        <v>121</v>
      </c>
      <c r="E30" s="61"/>
      <c r="F30" s="34"/>
      <c r="G30" s="35"/>
      <c r="H30" s="36"/>
      <c r="I30" s="35"/>
      <c r="J30" s="5"/>
      <c r="K30" s="5"/>
      <c r="L30" s="5"/>
      <c r="M30" s="5"/>
      <c r="N30" s="5"/>
      <c r="O30" s="5"/>
      <c r="P30" s="5"/>
      <c r="Q30" s="5"/>
      <c r="R30" s="5"/>
      <c r="S30" s="5"/>
      <c r="T30" s="5"/>
      <c r="U30" s="5"/>
      <c r="V30" s="5"/>
      <c r="W30" s="5"/>
      <c r="X30" s="5"/>
      <c r="Y30" s="5"/>
      <c r="Z30" s="5"/>
      <c r="AA30" s="5"/>
      <c r="AB30" s="5"/>
    </row>
    <row r="31" spans="1:28" ht="18">
      <c r="A31" s="37"/>
      <c r="B31" s="38"/>
      <c r="C31" s="29"/>
      <c r="D31" s="30"/>
      <c r="E31" s="30"/>
      <c r="F31" s="34"/>
      <c r="G31" s="35"/>
      <c r="H31" s="39"/>
      <c r="I31" s="35"/>
      <c r="J31" s="5"/>
      <c r="K31" s="5"/>
      <c r="L31" s="5"/>
      <c r="M31" s="5"/>
      <c r="N31" s="5"/>
      <c r="O31" s="5"/>
      <c r="P31" s="5"/>
      <c r="Q31" s="5"/>
      <c r="R31" s="5"/>
      <c r="S31" s="5"/>
      <c r="T31" s="5"/>
      <c r="U31" s="5"/>
      <c r="V31" s="5"/>
      <c r="W31" s="5"/>
      <c r="X31" s="5"/>
      <c r="Y31" s="5"/>
      <c r="Z31" s="5"/>
      <c r="AA31" s="5"/>
      <c r="AB31" s="5"/>
    </row>
    <row r="32" spans="1:28" ht="18">
      <c r="A32" s="40" t="s">
        <v>33</v>
      </c>
      <c r="B32" s="38"/>
      <c r="C32" s="29"/>
      <c r="D32" s="30"/>
      <c r="E32" s="30"/>
      <c r="F32" s="34"/>
      <c r="G32" s="35"/>
      <c r="H32" s="39"/>
      <c r="I32" s="35"/>
      <c r="J32" s="5"/>
      <c r="K32" s="5"/>
      <c r="L32" s="5"/>
      <c r="M32" s="5"/>
      <c r="N32" s="5"/>
      <c r="O32" s="5"/>
      <c r="P32" s="5"/>
      <c r="Q32" s="5"/>
      <c r="R32" s="5"/>
      <c r="S32" s="5"/>
      <c r="T32" s="5"/>
      <c r="U32" s="5"/>
      <c r="V32" s="5"/>
      <c r="W32" s="5"/>
      <c r="X32" s="5"/>
      <c r="Y32" s="5"/>
      <c r="Z32" s="5"/>
      <c r="AA32" s="5"/>
      <c r="AB32" s="5"/>
    </row>
    <row r="33" spans="1:28" ht="18">
      <c r="A33" s="32" t="s">
        <v>18</v>
      </c>
      <c r="B33" s="33">
        <v>8.7889750000000006</v>
      </c>
      <c r="C33" s="29">
        <v>9.2884237500000015</v>
      </c>
      <c r="D33" s="34">
        <v>9.6928449375000003</v>
      </c>
      <c r="E33" s="34">
        <v>10.29</v>
      </c>
      <c r="F33" s="34">
        <f t="shared" ref="F33:F34" si="15">SUM(D33,G33,H33)</f>
        <v>10.187487184375</v>
      </c>
      <c r="G33" s="35">
        <f t="shared" ref="G33:G34" si="16">D33*0.05</f>
        <v>0.48464224687500002</v>
      </c>
      <c r="H33" s="36">
        <v>0.01</v>
      </c>
      <c r="I33" s="35">
        <f t="shared" ref="I33:I34" si="17">F33-D33</f>
        <v>0.49464224687499936</v>
      </c>
      <c r="J33" s="5"/>
      <c r="K33" s="5"/>
      <c r="L33" s="5"/>
      <c r="M33" s="5"/>
      <c r="N33" s="5"/>
      <c r="O33" s="5"/>
      <c r="P33" s="5"/>
      <c r="Q33" s="5"/>
      <c r="R33" s="5"/>
      <c r="S33" s="5"/>
      <c r="T33" s="5"/>
      <c r="U33" s="5"/>
      <c r="V33" s="5"/>
      <c r="W33" s="5"/>
      <c r="X33" s="5"/>
      <c r="Y33" s="5"/>
      <c r="Z33" s="5"/>
      <c r="AA33" s="5"/>
      <c r="AB33" s="5"/>
    </row>
    <row r="34" spans="1:28" ht="18">
      <c r="A34" s="32" t="s">
        <v>20</v>
      </c>
      <c r="B34" s="33">
        <v>5.5939750000000004</v>
      </c>
      <c r="C34" s="29">
        <v>5.8936737500000005</v>
      </c>
      <c r="D34" s="34">
        <v>6.1883574375000006</v>
      </c>
      <c r="E34" s="34">
        <v>6.19</v>
      </c>
      <c r="F34" s="34">
        <f t="shared" si="15"/>
        <v>6.4877753093750012</v>
      </c>
      <c r="G34" s="35">
        <f t="shared" si="16"/>
        <v>0.30941787187500003</v>
      </c>
      <c r="H34" s="36">
        <v>-0.01</v>
      </c>
      <c r="I34" s="35">
        <f t="shared" si="17"/>
        <v>0.29941787187500069</v>
      </c>
      <c r="J34" s="5"/>
      <c r="K34" s="5"/>
      <c r="L34" s="5"/>
      <c r="M34" s="5"/>
      <c r="N34" s="5"/>
      <c r="O34" s="5"/>
      <c r="P34" s="5"/>
      <c r="Q34" s="5"/>
      <c r="R34" s="5"/>
      <c r="S34" s="5"/>
      <c r="T34" s="5"/>
      <c r="U34" s="5"/>
      <c r="V34" s="5"/>
      <c r="W34" s="5"/>
      <c r="X34" s="5"/>
      <c r="Y34" s="5"/>
      <c r="Z34" s="5"/>
      <c r="AA34" s="5"/>
      <c r="AB34" s="5"/>
    </row>
    <row r="35" spans="1:28" ht="18">
      <c r="A35" s="42"/>
      <c r="B35" s="38"/>
      <c r="C35" s="29"/>
      <c r="D35" s="30"/>
      <c r="E35" s="30"/>
      <c r="F35" s="34"/>
      <c r="G35" s="35"/>
      <c r="H35" s="39"/>
      <c r="I35" s="35"/>
      <c r="J35" s="5"/>
      <c r="K35" s="5"/>
      <c r="L35" s="5"/>
      <c r="M35" s="5"/>
      <c r="N35" s="5"/>
      <c r="O35" s="5"/>
      <c r="P35" s="5"/>
      <c r="Q35" s="5"/>
      <c r="R35" s="5"/>
      <c r="S35" s="5"/>
      <c r="T35" s="5"/>
      <c r="U35" s="5"/>
      <c r="V35" s="5"/>
      <c r="W35" s="5"/>
      <c r="X35" s="5"/>
      <c r="Y35" s="5"/>
      <c r="Z35" s="5"/>
      <c r="AA35" s="5"/>
      <c r="AB35" s="5"/>
    </row>
    <row r="36" spans="1:28" ht="18">
      <c r="A36" s="40" t="s">
        <v>34</v>
      </c>
      <c r="B36" s="38"/>
      <c r="C36" s="29"/>
      <c r="D36" s="30"/>
      <c r="E36" s="30"/>
      <c r="F36" s="34"/>
      <c r="G36" s="35"/>
      <c r="H36" s="39"/>
      <c r="I36" s="35"/>
      <c r="J36" s="5"/>
      <c r="K36" s="5"/>
      <c r="L36" s="5"/>
      <c r="M36" s="5"/>
      <c r="N36" s="5"/>
      <c r="O36" s="5"/>
      <c r="P36" s="5"/>
      <c r="Q36" s="5"/>
      <c r="R36" s="5"/>
      <c r="S36" s="5"/>
      <c r="T36" s="5"/>
      <c r="U36" s="5"/>
      <c r="V36" s="5"/>
      <c r="W36" s="5"/>
      <c r="X36" s="5"/>
      <c r="Y36" s="5"/>
      <c r="Z36" s="5"/>
      <c r="AA36" s="5"/>
      <c r="AB36" s="5"/>
    </row>
    <row r="37" spans="1:28" ht="18">
      <c r="A37" s="32" t="s">
        <v>18</v>
      </c>
      <c r="B37" s="33">
        <v>10.494225</v>
      </c>
      <c r="C37" s="29">
        <v>11.088936250000001</v>
      </c>
      <c r="D37" s="34">
        <v>11.593383062500001</v>
      </c>
      <c r="E37" s="34">
        <v>11.89</v>
      </c>
      <c r="F37" s="34">
        <f>SUM(D37,G37,H37)</f>
        <v>12.193052215625</v>
      </c>
      <c r="G37" s="35">
        <f>D37*0.05</f>
        <v>0.57966915312500011</v>
      </c>
      <c r="H37" s="36">
        <v>0.02</v>
      </c>
      <c r="I37" s="35">
        <f>F37-D37</f>
        <v>0.59966915312499935</v>
      </c>
      <c r="J37" s="5"/>
      <c r="K37" s="5"/>
      <c r="L37" s="5"/>
      <c r="M37" s="5"/>
      <c r="N37" s="5"/>
      <c r="O37" s="5"/>
      <c r="P37" s="5"/>
      <c r="Q37" s="5"/>
      <c r="R37" s="5"/>
      <c r="S37" s="5"/>
      <c r="T37" s="5"/>
      <c r="U37" s="5"/>
      <c r="V37" s="5"/>
      <c r="W37" s="5"/>
      <c r="X37" s="5"/>
      <c r="Y37" s="5"/>
      <c r="Z37" s="5"/>
      <c r="AA37" s="5"/>
      <c r="AB37" s="5"/>
    </row>
    <row r="38" spans="1:28" ht="18">
      <c r="A38" s="42"/>
      <c r="B38" s="38"/>
      <c r="C38" s="29"/>
      <c r="D38" s="30"/>
      <c r="E38" s="30"/>
      <c r="F38" s="34"/>
      <c r="G38" s="35"/>
      <c r="H38" s="39"/>
      <c r="I38" s="35"/>
      <c r="J38" s="5"/>
      <c r="K38" s="5"/>
      <c r="L38" s="5"/>
      <c r="M38" s="5"/>
      <c r="N38" s="5"/>
      <c r="O38" s="5"/>
      <c r="P38" s="5"/>
      <c r="Q38" s="5"/>
      <c r="R38" s="5"/>
      <c r="S38" s="5"/>
      <c r="T38" s="5"/>
      <c r="U38" s="5"/>
      <c r="V38" s="5"/>
      <c r="W38" s="5"/>
      <c r="X38" s="5"/>
      <c r="Y38" s="5"/>
      <c r="Z38" s="5"/>
      <c r="AA38" s="5"/>
      <c r="AB38" s="5"/>
    </row>
    <row r="39" spans="1:28" ht="18">
      <c r="A39" s="40" t="s">
        <v>35</v>
      </c>
      <c r="B39" s="38"/>
      <c r="C39" s="29"/>
      <c r="D39" s="30"/>
      <c r="E39" s="30"/>
      <c r="F39" s="34"/>
      <c r="G39" s="35"/>
      <c r="H39" s="39"/>
      <c r="I39" s="35"/>
      <c r="J39" s="5"/>
      <c r="K39" s="5"/>
      <c r="L39" s="5"/>
      <c r="M39" s="5"/>
      <c r="N39" s="5"/>
      <c r="O39" s="5"/>
      <c r="P39" s="5"/>
      <c r="Q39" s="5"/>
      <c r="R39" s="5"/>
      <c r="S39" s="5"/>
      <c r="T39" s="5"/>
      <c r="U39" s="5"/>
      <c r="V39" s="5"/>
      <c r="W39" s="5"/>
      <c r="X39" s="5"/>
      <c r="Y39" s="5"/>
      <c r="Z39" s="5"/>
      <c r="AA39" s="5"/>
      <c r="AB39" s="5"/>
    </row>
    <row r="40" spans="1:28" s="60" customFormat="1" ht="18">
      <c r="A40" s="68" t="s">
        <v>36</v>
      </c>
      <c r="B40" s="69">
        <v>7.7889749999999998</v>
      </c>
      <c r="C40" s="70">
        <v>8.1884237500000001</v>
      </c>
      <c r="D40" s="71">
        <v>8.627844937499999</v>
      </c>
      <c r="E40" s="71"/>
      <c r="F40" s="71">
        <f t="shared" ref="F40:F52" si="18">SUM(D40,G40,H40)</f>
        <v>9.0892371843749977</v>
      </c>
      <c r="G40" s="72">
        <f t="shared" ref="G40:G52" si="19">D40*0.05</f>
        <v>0.431392246875</v>
      </c>
      <c r="H40" s="73">
        <v>0.03</v>
      </c>
      <c r="I40" s="72">
        <f t="shared" ref="I40:I52" si="20">F40-D40</f>
        <v>0.46139224687499869</v>
      </c>
      <c r="J40" s="59"/>
      <c r="K40" s="59"/>
      <c r="L40" s="59"/>
      <c r="M40" s="59"/>
      <c r="N40" s="59"/>
      <c r="O40" s="59"/>
      <c r="P40" s="59"/>
      <c r="Q40" s="59"/>
      <c r="R40" s="59"/>
      <c r="S40" s="59"/>
      <c r="T40" s="59"/>
      <c r="U40" s="59"/>
      <c r="V40" s="59"/>
      <c r="W40" s="59"/>
      <c r="X40" s="59"/>
      <c r="Y40" s="59"/>
      <c r="Z40" s="59"/>
      <c r="AA40" s="59"/>
      <c r="AB40" s="59"/>
    </row>
    <row r="41" spans="1:28" s="60" customFormat="1" ht="18">
      <c r="A41" s="68" t="s">
        <v>37</v>
      </c>
      <c r="B41" s="69">
        <v>7.7889749999999998</v>
      </c>
      <c r="C41" s="70">
        <v>8.1884237500000001</v>
      </c>
      <c r="D41" s="71">
        <v>8.627844937499999</v>
      </c>
      <c r="E41" s="71"/>
      <c r="F41" s="71">
        <f t="shared" si="18"/>
        <v>9.0892371843749977</v>
      </c>
      <c r="G41" s="72">
        <f t="shared" si="19"/>
        <v>0.431392246875</v>
      </c>
      <c r="H41" s="73">
        <v>0.03</v>
      </c>
      <c r="I41" s="72">
        <f t="shared" si="20"/>
        <v>0.46139224687499869</v>
      </c>
      <c r="J41" s="59"/>
      <c r="K41" s="59"/>
      <c r="L41" s="59"/>
      <c r="M41" s="59"/>
      <c r="N41" s="59"/>
      <c r="O41" s="59"/>
      <c r="P41" s="59"/>
      <c r="Q41" s="59"/>
      <c r="R41" s="59"/>
      <c r="S41" s="59"/>
      <c r="T41" s="59"/>
      <c r="U41" s="59"/>
      <c r="V41" s="59"/>
      <c r="W41" s="59"/>
      <c r="X41" s="59"/>
      <c r="Y41" s="59"/>
      <c r="Z41" s="59"/>
      <c r="AA41" s="59"/>
      <c r="AB41" s="59"/>
    </row>
    <row r="42" spans="1:28" s="60" customFormat="1" ht="18">
      <c r="A42" s="68" t="s">
        <v>38</v>
      </c>
      <c r="B42" s="69">
        <v>7.7889749999999998</v>
      </c>
      <c r="C42" s="70">
        <v>8.1884237500000001</v>
      </c>
      <c r="D42" s="71">
        <v>8.627844937499999</v>
      </c>
      <c r="E42" s="71"/>
      <c r="F42" s="71">
        <f t="shared" si="18"/>
        <v>9.0892371843749977</v>
      </c>
      <c r="G42" s="72">
        <f t="shared" si="19"/>
        <v>0.431392246875</v>
      </c>
      <c r="H42" s="73">
        <v>0.03</v>
      </c>
      <c r="I42" s="72">
        <f t="shared" si="20"/>
        <v>0.46139224687499869</v>
      </c>
      <c r="J42" s="59"/>
      <c r="K42" s="59"/>
      <c r="L42" s="59"/>
      <c r="M42" s="59"/>
      <c r="N42" s="59"/>
      <c r="O42" s="59"/>
      <c r="P42" s="59"/>
      <c r="Q42" s="59"/>
      <c r="R42" s="59"/>
      <c r="S42" s="59"/>
      <c r="T42" s="59"/>
      <c r="U42" s="59"/>
      <c r="V42" s="59"/>
      <c r="W42" s="59"/>
      <c r="X42" s="59"/>
      <c r="Y42" s="59"/>
      <c r="Z42" s="59"/>
      <c r="AA42" s="59"/>
      <c r="AB42" s="59"/>
    </row>
    <row r="43" spans="1:28" s="60" customFormat="1" ht="18">
      <c r="A43" s="68" t="s">
        <v>39</v>
      </c>
      <c r="B43" s="69">
        <v>7.7889749999999998</v>
      </c>
      <c r="C43" s="70">
        <v>8.1884237500000001</v>
      </c>
      <c r="D43" s="71">
        <v>8.627844937499999</v>
      </c>
      <c r="E43" s="71"/>
      <c r="F43" s="71">
        <f t="shared" si="18"/>
        <v>9.0892371843749977</v>
      </c>
      <c r="G43" s="72">
        <f t="shared" si="19"/>
        <v>0.431392246875</v>
      </c>
      <c r="H43" s="73">
        <v>0.03</v>
      </c>
      <c r="I43" s="72">
        <f t="shared" si="20"/>
        <v>0.46139224687499869</v>
      </c>
      <c r="J43" s="59"/>
      <c r="K43" s="59"/>
      <c r="L43" s="59"/>
      <c r="M43" s="59"/>
      <c r="N43" s="59"/>
      <c r="O43" s="59"/>
      <c r="P43" s="59"/>
      <c r="Q43" s="59"/>
      <c r="R43" s="59"/>
      <c r="S43" s="59"/>
      <c r="T43" s="59"/>
      <c r="U43" s="59"/>
      <c r="V43" s="59"/>
      <c r="W43" s="59"/>
      <c r="X43" s="59"/>
      <c r="Y43" s="59"/>
      <c r="Z43" s="59"/>
      <c r="AA43" s="59"/>
      <c r="AB43" s="59"/>
    </row>
    <row r="44" spans="1:28" s="60" customFormat="1" ht="18">
      <c r="A44" s="68" t="s">
        <v>40</v>
      </c>
      <c r="B44" s="69">
        <v>7.7889749999999998</v>
      </c>
      <c r="C44" s="70">
        <v>8.1884237500000001</v>
      </c>
      <c r="D44" s="71">
        <v>8.627844937499999</v>
      </c>
      <c r="E44" s="71"/>
      <c r="F44" s="71">
        <f t="shared" si="18"/>
        <v>9.0892371843749977</v>
      </c>
      <c r="G44" s="72">
        <f t="shared" si="19"/>
        <v>0.431392246875</v>
      </c>
      <c r="H44" s="73">
        <v>0.03</v>
      </c>
      <c r="I44" s="72">
        <f t="shared" si="20"/>
        <v>0.46139224687499869</v>
      </c>
      <c r="J44" s="59"/>
      <c r="K44" s="59"/>
      <c r="L44" s="59"/>
      <c r="M44" s="59"/>
      <c r="N44" s="59"/>
      <c r="O44" s="59"/>
      <c r="P44" s="59"/>
      <c r="Q44" s="59"/>
      <c r="R44" s="59"/>
      <c r="S44" s="59"/>
      <c r="T44" s="59"/>
      <c r="U44" s="59"/>
      <c r="V44" s="59"/>
      <c r="W44" s="59"/>
      <c r="X44" s="59"/>
      <c r="Y44" s="59"/>
      <c r="Z44" s="59"/>
      <c r="AA44" s="59"/>
      <c r="AB44" s="59"/>
    </row>
    <row r="45" spans="1:28" s="60" customFormat="1" ht="18">
      <c r="A45" s="68" t="s">
        <v>41</v>
      </c>
      <c r="B45" s="69">
        <v>8.2892250000000001</v>
      </c>
      <c r="C45" s="70">
        <v>8.6936862500000007</v>
      </c>
      <c r="D45" s="71">
        <v>9.0883705625000015</v>
      </c>
      <c r="E45" s="71"/>
      <c r="F45" s="71">
        <f t="shared" si="18"/>
        <v>9.492789090625001</v>
      </c>
      <c r="G45" s="72">
        <f t="shared" si="19"/>
        <v>0.45441852812500011</v>
      </c>
      <c r="H45" s="73">
        <v>-0.05</v>
      </c>
      <c r="I45" s="72">
        <f t="shared" si="20"/>
        <v>0.40441852812499945</v>
      </c>
      <c r="J45" s="59"/>
      <c r="K45" s="59"/>
      <c r="L45" s="59"/>
      <c r="M45" s="59"/>
      <c r="N45" s="59"/>
      <c r="O45" s="59"/>
      <c r="P45" s="59"/>
      <c r="Q45" s="59"/>
      <c r="R45" s="59"/>
      <c r="S45" s="59"/>
      <c r="T45" s="59"/>
      <c r="U45" s="59"/>
      <c r="V45" s="59"/>
      <c r="W45" s="59"/>
      <c r="X45" s="59"/>
      <c r="Y45" s="59"/>
      <c r="Z45" s="59"/>
      <c r="AA45" s="59"/>
      <c r="AB45" s="59"/>
    </row>
    <row r="46" spans="1:28" s="60" customFormat="1" ht="18">
      <c r="A46" s="68" t="s">
        <v>42</v>
      </c>
      <c r="B46" s="69">
        <v>8.2892250000000001</v>
      </c>
      <c r="C46" s="70">
        <v>8.6936862500000007</v>
      </c>
      <c r="D46" s="71">
        <v>9.0883705625000015</v>
      </c>
      <c r="E46" s="71"/>
      <c r="F46" s="71">
        <f t="shared" si="18"/>
        <v>9.492789090625001</v>
      </c>
      <c r="G46" s="72">
        <f t="shared" si="19"/>
        <v>0.45441852812500011</v>
      </c>
      <c r="H46" s="73">
        <v>-0.05</v>
      </c>
      <c r="I46" s="72">
        <f t="shared" si="20"/>
        <v>0.40441852812499945</v>
      </c>
      <c r="J46" s="59"/>
      <c r="K46" s="59"/>
      <c r="L46" s="59"/>
      <c r="M46" s="59"/>
      <c r="N46" s="59"/>
      <c r="O46" s="59"/>
      <c r="P46" s="59"/>
      <c r="Q46" s="59"/>
      <c r="R46" s="59"/>
      <c r="S46" s="59"/>
      <c r="T46" s="59"/>
      <c r="U46" s="59"/>
      <c r="V46" s="59"/>
      <c r="W46" s="59"/>
      <c r="X46" s="59"/>
      <c r="Y46" s="59"/>
      <c r="Z46" s="59"/>
      <c r="AA46" s="59"/>
      <c r="AB46" s="59"/>
    </row>
    <row r="47" spans="1:28" s="60" customFormat="1" ht="18">
      <c r="A47" s="68" t="s">
        <v>43</v>
      </c>
      <c r="B47" s="69">
        <v>8.7889750000000006</v>
      </c>
      <c r="C47" s="70">
        <v>9.1884237500000019</v>
      </c>
      <c r="D47" s="71">
        <v>9.5878449375000017</v>
      </c>
      <c r="E47" s="71"/>
      <c r="F47" s="71">
        <f t="shared" si="18"/>
        <v>9.987237184375001</v>
      </c>
      <c r="G47" s="72">
        <f t="shared" si="19"/>
        <v>0.47939224687500009</v>
      </c>
      <c r="H47" s="73">
        <v>-0.08</v>
      </c>
      <c r="I47" s="72">
        <f t="shared" si="20"/>
        <v>0.3993922468749993</v>
      </c>
      <c r="J47" s="59"/>
      <c r="K47" s="59"/>
      <c r="L47" s="59"/>
      <c r="M47" s="59"/>
      <c r="N47" s="59"/>
      <c r="O47" s="59"/>
      <c r="P47" s="59"/>
      <c r="Q47" s="59"/>
      <c r="R47" s="59"/>
      <c r="S47" s="59"/>
      <c r="T47" s="59"/>
      <c r="U47" s="59"/>
      <c r="V47" s="59"/>
      <c r="W47" s="59"/>
      <c r="X47" s="59"/>
      <c r="Y47" s="59"/>
      <c r="Z47" s="59"/>
      <c r="AA47" s="59"/>
      <c r="AB47" s="59"/>
    </row>
    <row r="48" spans="1:28" s="60" customFormat="1" ht="18">
      <c r="A48" s="68" t="s">
        <v>44</v>
      </c>
      <c r="B48" s="69">
        <v>8.7889750000000006</v>
      </c>
      <c r="C48" s="70">
        <v>9.1884237500000019</v>
      </c>
      <c r="D48" s="71">
        <v>9.5878449375000017</v>
      </c>
      <c r="E48" s="71"/>
      <c r="F48" s="71">
        <f t="shared" si="18"/>
        <v>9.987237184375001</v>
      </c>
      <c r="G48" s="72">
        <f t="shared" si="19"/>
        <v>0.47939224687500009</v>
      </c>
      <c r="H48" s="73">
        <v>-0.08</v>
      </c>
      <c r="I48" s="72">
        <f t="shared" si="20"/>
        <v>0.3993922468749993</v>
      </c>
      <c r="J48" s="59"/>
      <c r="K48" s="59"/>
      <c r="L48" s="59"/>
      <c r="M48" s="59"/>
      <c r="N48" s="59"/>
      <c r="O48" s="59"/>
      <c r="P48" s="59"/>
      <c r="Q48" s="59"/>
      <c r="R48" s="59"/>
      <c r="S48" s="59"/>
      <c r="T48" s="59"/>
      <c r="U48" s="59"/>
      <c r="V48" s="59"/>
      <c r="W48" s="59"/>
      <c r="X48" s="59"/>
      <c r="Y48" s="59"/>
      <c r="Z48" s="59"/>
      <c r="AA48" s="59"/>
      <c r="AB48" s="59"/>
    </row>
    <row r="49" spans="1:28" s="60" customFormat="1" ht="18">
      <c r="A49" s="68" t="s">
        <v>45</v>
      </c>
      <c r="B49" s="69">
        <v>8.7889750000000006</v>
      </c>
      <c r="C49" s="70">
        <v>9.1884237500000019</v>
      </c>
      <c r="D49" s="71">
        <v>9.5878449375000017</v>
      </c>
      <c r="E49" s="71"/>
      <c r="F49" s="71">
        <f t="shared" si="18"/>
        <v>9.987237184375001</v>
      </c>
      <c r="G49" s="72">
        <f t="shared" si="19"/>
        <v>0.47939224687500009</v>
      </c>
      <c r="H49" s="73">
        <v>-0.08</v>
      </c>
      <c r="I49" s="72">
        <f t="shared" si="20"/>
        <v>0.3993922468749993</v>
      </c>
      <c r="J49" s="59"/>
      <c r="K49" s="59"/>
      <c r="L49" s="59"/>
      <c r="M49" s="59"/>
      <c r="N49" s="59"/>
      <c r="O49" s="59"/>
      <c r="P49" s="59"/>
      <c r="Q49" s="59"/>
      <c r="R49" s="59"/>
      <c r="S49" s="59"/>
      <c r="T49" s="59"/>
      <c r="U49" s="59"/>
      <c r="V49" s="59"/>
      <c r="W49" s="59"/>
      <c r="X49" s="59"/>
      <c r="Y49" s="59"/>
      <c r="Z49" s="59"/>
      <c r="AA49" s="59"/>
      <c r="AB49" s="59"/>
    </row>
    <row r="50" spans="1:28" s="60" customFormat="1" ht="18">
      <c r="A50" s="68" t="s">
        <v>46</v>
      </c>
      <c r="B50" s="69">
        <v>8.7889750000000006</v>
      </c>
      <c r="C50" s="70">
        <v>9.1884237500000019</v>
      </c>
      <c r="D50" s="71">
        <v>9.5878449375000017</v>
      </c>
      <c r="E50" s="71"/>
      <c r="F50" s="71">
        <f t="shared" si="18"/>
        <v>9.987237184375001</v>
      </c>
      <c r="G50" s="72">
        <f t="shared" si="19"/>
        <v>0.47939224687500009</v>
      </c>
      <c r="H50" s="73">
        <v>-0.08</v>
      </c>
      <c r="I50" s="72">
        <f t="shared" si="20"/>
        <v>0.3993922468749993</v>
      </c>
      <c r="J50" s="59"/>
      <c r="K50" s="59"/>
      <c r="L50" s="59"/>
      <c r="M50" s="59"/>
      <c r="N50" s="59"/>
      <c r="O50" s="59"/>
      <c r="P50" s="59"/>
      <c r="Q50" s="59"/>
      <c r="R50" s="59"/>
      <c r="S50" s="59"/>
      <c r="T50" s="59"/>
      <c r="U50" s="59"/>
      <c r="V50" s="59"/>
      <c r="W50" s="59"/>
      <c r="X50" s="59"/>
      <c r="Y50" s="59"/>
      <c r="Z50" s="59"/>
      <c r="AA50" s="59"/>
      <c r="AB50" s="59"/>
    </row>
    <row r="51" spans="1:28" s="60" customFormat="1" ht="18">
      <c r="A51" s="68" t="s">
        <v>47</v>
      </c>
      <c r="B51" s="69">
        <v>8.7889750000000006</v>
      </c>
      <c r="C51" s="70">
        <v>9.1884237500000019</v>
      </c>
      <c r="D51" s="71">
        <v>9.5878449375000017</v>
      </c>
      <c r="E51" s="71"/>
      <c r="F51" s="71">
        <f t="shared" si="18"/>
        <v>9.987237184375001</v>
      </c>
      <c r="G51" s="72">
        <f t="shared" si="19"/>
        <v>0.47939224687500009</v>
      </c>
      <c r="H51" s="73">
        <v>-0.08</v>
      </c>
      <c r="I51" s="72">
        <f t="shared" si="20"/>
        <v>0.3993922468749993</v>
      </c>
      <c r="J51" s="59"/>
      <c r="K51" s="59"/>
      <c r="L51" s="59"/>
      <c r="M51" s="59"/>
      <c r="N51" s="59"/>
      <c r="O51" s="59"/>
      <c r="P51" s="59"/>
      <c r="Q51" s="59"/>
      <c r="R51" s="59"/>
      <c r="S51" s="59"/>
      <c r="T51" s="59"/>
      <c r="U51" s="59"/>
      <c r="V51" s="59"/>
      <c r="W51" s="59"/>
      <c r="X51" s="59"/>
      <c r="Y51" s="59"/>
      <c r="Z51" s="59"/>
      <c r="AA51" s="59"/>
      <c r="AB51" s="59"/>
    </row>
    <row r="52" spans="1:28" s="60" customFormat="1" ht="18">
      <c r="A52" s="68" t="s">
        <v>48</v>
      </c>
      <c r="B52" s="69">
        <v>8.7889750000000006</v>
      </c>
      <c r="C52" s="70">
        <v>9.1884237500000019</v>
      </c>
      <c r="D52" s="71">
        <v>9.5878449375000017</v>
      </c>
      <c r="E52" s="71"/>
      <c r="F52" s="71">
        <f t="shared" si="18"/>
        <v>9.987237184375001</v>
      </c>
      <c r="G52" s="72">
        <f t="shared" si="19"/>
        <v>0.47939224687500009</v>
      </c>
      <c r="H52" s="73">
        <v>-0.08</v>
      </c>
      <c r="I52" s="72">
        <f t="shared" si="20"/>
        <v>0.3993922468749993</v>
      </c>
      <c r="J52" s="59"/>
      <c r="K52" s="59"/>
      <c r="L52" s="59"/>
      <c r="M52" s="59"/>
      <c r="N52" s="59"/>
      <c r="O52" s="59"/>
      <c r="P52" s="59"/>
      <c r="Q52" s="59"/>
      <c r="R52" s="59"/>
      <c r="S52" s="59"/>
      <c r="T52" s="59"/>
      <c r="U52" s="59"/>
      <c r="V52" s="59"/>
      <c r="W52" s="59"/>
      <c r="X52" s="59"/>
      <c r="Y52" s="59"/>
      <c r="Z52" s="59"/>
      <c r="AA52" s="59"/>
      <c r="AB52" s="59"/>
    </row>
    <row r="53" spans="1:28" ht="18">
      <c r="A53" s="42"/>
      <c r="B53" s="38"/>
      <c r="C53" s="29"/>
      <c r="D53" s="30"/>
      <c r="E53" s="30"/>
      <c r="F53" s="34"/>
      <c r="G53" s="35"/>
      <c r="H53" s="39"/>
      <c r="I53" s="35"/>
      <c r="J53" s="5"/>
      <c r="K53" s="5"/>
      <c r="L53" s="5"/>
      <c r="M53" s="5"/>
      <c r="N53" s="5"/>
      <c r="O53" s="5"/>
      <c r="P53" s="5"/>
      <c r="Q53" s="5"/>
      <c r="R53" s="5"/>
      <c r="S53" s="5"/>
      <c r="T53" s="5"/>
      <c r="U53" s="5"/>
      <c r="V53" s="5"/>
      <c r="W53" s="5"/>
      <c r="X53" s="5"/>
      <c r="Y53" s="5"/>
      <c r="Z53" s="5"/>
      <c r="AA53" s="5"/>
      <c r="AB53" s="5"/>
    </row>
    <row r="54" spans="1:28" ht="18">
      <c r="A54" s="40" t="s">
        <v>49</v>
      </c>
      <c r="B54" s="38"/>
      <c r="C54" s="29"/>
      <c r="D54" s="30"/>
      <c r="E54" s="30"/>
      <c r="F54" s="34"/>
      <c r="G54" s="35"/>
      <c r="H54" s="39"/>
      <c r="I54" s="35"/>
      <c r="J54" s="5"/>
      <c r="K54" s="5"/>
      <c r="L54" s="5"/>
      <c r="M54" s="5"/>
      <c r="N54" s="5"/>
      <c r="O54" s="5"/>
      <c r="P54" s="5"/>
      <c r="Q54" s="5"/>
      <c r="R54" s="5"/>
      <c r="S54" s="5"/>
      <c r="T54" s="5"/>
      <c r="U54" s="5"/>
      <c r="V54" s="5"/>
      <c r="W54" s="5"/>
      <c r="X54" s="5"/>
      <c r="Y54" s="5"/>
      <c r="Z54" s="5"/>
      <c r="AA54" s="5"/>
      <c r="AB54" s="5"/>
    </row>
    <row r="55" spans="1:28" ht="36">
      <c r="A55" s="32" t="s">
        <v>50</v>
      </c>
      <c r="B55" s="33">
        <v>8.2892250000000001</v>
      </c>
      <c r="C55" s="29">
        <v>8.6936862500000007</v>
      </c>
      <c r="D55" s="34">
        <v>9.0883705625000015</v>
      </c>
      <c r="E55" s="34">
        <v>10.89</v>
      </c>
      <c r="F55" s="34">
        <f t="shared" ref="F55:F56" si="21">SUM(D55,G55,H55)</f>
        <v>9.492789090625001</v>
      </c>
      <c r="G55" s="35">
        <f t="shared" ref="G55:G56" si="22">D55*0.05</f>
        <v>0.45441852812500011</v>
      </c>
      <c r="H55" s="36">
        <v>-0.05</v>
      </c>
      <c r="I55" s="35">
        <f t="shared" ref="I55:I56" si="23">F55-D55</f>
        <v>0.40441852812499945</v>
      </c>
      <c r="J55" s="5"/>
      <c r="K55" s="5"/>
      <c r="L55" s="5"/>
      <c r="M55" s="5"/>
      <c r="N55" s="5"/>
      <c r="O55" s="5"/>
      <c r="P55" s="5"/>
      <c r="Q55" s="5"/>
      <c r="R55" s="5"/>
      <c r="S55" s="5"/>
      <c r="T55" s="5"/>
      <c r="U55" s="5"/>
      <c r="V55" s="5"/>
      <c r="W55" s="5"/>
      <c r="X55" s="5"/>
      <c r="Y55" s="5"/>
      <c r="Z55" s="5"/>
      <c r="AA55" s="5"/>
      <c r="AB55" s="5"/>
    </row>
    <row r="56" spans="1:28" s="60" customFormat="1" ht="18">
      <c r="A56" s="68" t="s">
        <v>123</v>
      </c>
      <c r="B56" s="69">
        <v>9.99</v>
      </c>
      <c r="C56" s="70">
        <v>9.99</v>
      </c>
      <c r="D56" s="71">
        <v>10.4895</v>
      </c>
      <c r="E56" s="71"/>
      <c r="F56" s="71">
        <f t="shared" si="21"/>
        <v>10.993975000000001</v>
      </c>
      <c r="G56" s="72">
        <f t="shared" si="22"/>
        <v>0.52447500000000002</v>
      </c>
      <c r="H56" s="73">
        <v>-0.02</v>
      </c>
      <c r="I56" s="72">
        <f t="shared" si="23"/>
        <v>0.50447500000000112</v>
      </c>
      <c r="J56" s="59"/>
      <c r="K56" s="59"/>
      <c r="L56" s="59"/>
      <c r="M56" s="59"/>
      <c r="N56" s="59"/>
      <c r="O56" s="59"/>
      <c r="P56" s="59"/>
      <c r="Q56" s="59"/>
      <c r="R56" s="59"/>
      <c r="S56" s="59"/>
      <c r="T56" s="59"/>
      <c r="U56" s="59"/>
      <c r="V56" s="59"/>
      <c r="W56" s="59"/>
      <c r="X56" s="59"/>
      <c r="Y56" s="59"/>
      <c r="Z56" s="59"/>
      <c r="AA56" s="59"/>
      <c r="AB56" s="59"/>
    </row>
    <row r="57" spans="1:28" ht="18">
      <c r="A57" s="42"/>
      <c r="B57" s="38"/>
      <c r="C57" s="29"/>
      <c r="D57" s="30"/>
      <c r="E57" s="30"/>
      <c r="F57" s="34"/>
      <c r="G57" s="35"/>
      <c r="H57" s="39"/>
      <c r="I57" s="35"/>
      <c r="J57" s="5"/>
      <c r="K57" s="5"/>
      <c r="L57" s="5"/>
      <c r="M57" s="5"/>
      <c r="N57" s="5"/>
      <c r="O57" s="5"/>
      <c r="P57" s="5"/>
      <c r="Q57" s="5"/>
      <c r="R57" s="5"/>
      <c r="S57" s="5"/>
      <c r="T57" s="5"/>
      <c r="U57" s="5"/>
      <c r="V57" s="5"/>
      <c r="W57" s="5"/>
      <c r="X57" s="5"/>
      <c r="Y57" s="5"/>
      <c r="Z57" s="5"/>
      <c r="AA57" s="5"/>
      <c r="AB57" s="5"/>
    </row>
    <row r="58" spans="1:28" ht="18">
      <c r="A58" s="40" t="s">
        <v>52</v>
      </c>
      <c r="B58" s="38"/>
      <c r="C58" s="29"/>
      <c r="D58" s="30"/>
      <c r="E58" s="30"/>
      <c r="F58" s="34"/>
      <c r="G58" s="35"/>
      <c r="H58" s="39"/>
      <c r="I58" s="35"/>
      <c r="J58" s="5"/>
      <c r="K58" s="5"/>
      <c r="L58" s="5"/>
      <c r="M58" s="5"/>
      <c r="N58" s="5"/>
      <c r="O58" s="5"/>
      <c r="P58" s="5"/>
      <c r="Q58" s="5"/>
      <c r="R58" s="5"/>
      <c r="S58" s="5"/>
      <c r="T58" s="5"/>
      <c r="U58" s="5"/>
      <c r="V58" s="5"/>
      <c r="W58" s="5"/>
      <c r="X58" s="5"/>
      <c r="Y58" s="5"/>
      <c r="Z58" s="5"/>
      <c r="AA58" s="5"/>
      <c r="AB58" s="5"/>
    </row>
    <row r="59" spans="1:28" ht="18">
      <c r="A59" s="32" t="s">
        <v>18</v>
      </c>
      <c r="B59" s="33">
        <v>10.993975000000001</v>
      </c>
      <c r="C59" s="29">
        <v>11.493673750000001</v>
      </c>
      <c r="D59" s="34">
        <v>12.088357437500001</v>
      </c>
      <c r="E59" s="34">
        <v>13.19</v>
      </c>
      <c r="F59" s="34">
        <f t="shared" ref="F59:F60" si="24">SUM(D59,G59,H59)</f>
        <v>12.692775309375001</v>
      </c>
      <c r="G59" s="35">
        <f t="shared" ref="G59:G60" si="25">D59*0.05</f>
        <v>0.60441787187500007</v>
      </c>
      <c r="H59" s="36"/>
      <c r="I59" s="35"/>
      <c r="J59" s="5"/>
      <c r="K59" s="5"/>
      <c r="L59" s="5"/>
      <c r="M59" s="5"/>
      <c r="N59" s="5"/>
      <c r="O59" s="5"/>
      <c r="P59" s="5"/>
      <c r="Q59" s="5"/>
      <c r="R59" s="5"/>
      <c r="S59" s="5"/>
      <c r="T59" s="5"/>
      <c r="U59" s="5"/>
      <c r="V59" s="5"/>
      <c r="W59" s="5"/>
      <c r="X59" s="5"/>
      <c r="Y59" s="5"/>
      <c r="Z59" s="5"/>
      <c r="AA59" s="5"/>
      <c r="AB59" s="5"/>
    </row>
    <row r="60" spans="1:28" ht="18">
      <c r="A60" s="32" t="s">
        <v>26</v>
      </c>
      <c r="B60" s="33">
        <v>10.993975000000001</v>
      </c>
      <c r="C60" s="29">
        <v>11.493673750000001</v>
      </c>
      <c r="D60" s="34">
        <v>12.088357437500001</v>
      </c>
      <c r="E60" s="34">
        <v>13.19</v>
      </c>
      <c r="F60" s="34">
        <f t="shared" si="24"/>
        <v>12.692775309375001</v>
      </c>
      <c r="G60" s="35">
        <f t="shared" si="25"/>
        <v>0.60441787187500007</v>
      </c>
      <c r="H60" s="36">
        <v>0</v>
      </c>
      <c r="I60" s="35">
        <f>F60-D60</f>
        <v>0.6044178718750004</v>
      </c>
      <c r="J60" s="5"/>
      <c r="K60" s="5"/>
      <c r="L60" s="5"/>
      <c r="M60" s="5"/>
      <c r="N60" s="5"/>
      <c r="O60" s="5"/>
      <c r="P60" s="5"/>
      <c r="Q60" s="5"/>
      <c r="R60" s="5"/>
      <c r="S60" s="5"/>
      <c r="T60" s="5"/>
      <c r="U60" s="5"/>
      <c r="V60" s="5"/>
      <c r="W60" s="5"/>
      <c r="X60" s="5"/>
      <c r="Y60" s="5"/>
      <c r="Z60" s="5"/>
      <c r="AA60" s="5"/>
      <c r="AB60" s="5"/>
    </row>
    <row r="61" spans="1:28" ht="18">
      <c r="A61" s="42"/>
      <c r="B61" s="38"/>
      <c r="C61" s="29"/>
      <c r="D61" s="30"/>
      <c r="E61" s="30"/>
      <c r="F61" s="34"/>
      <c r="G61" s="35"/>
      <c r="H61" s="39"/>
      <c r="I61" s="35"/>
      <c r="J61" s="5"/>
      <c r="K61" s="5"/>
      <c r="L61" s="5"/>
      <c r="M61" s="5"/>
      <c r="N61" s="5"/>
      <c r="O61" s="5"/>
      <c r="P61" s="5"/>
      <c r="Q61" s="5"/>
      <c r="R61" s="5"/>
      <c r="S61" s="5"/>
      <c r="T61" s="5"/>
      <c r="U61" s="5"/>
      <c r="V61" s="5"/>
      <c r="W61" s="5"/>
      <c r="X61" s="5"/>
      <c r="Y61" s="5"/>
      <c r="Z61" s="5"/>
      <c r="AA61" s="5"/>
      <c r="AB61" s="5"/>
    </row>
    <row r="62" spans="1:28" ht="18">
      <c r="A62" s="40" t="s">
        <v>53</v>
      </c>
      <c r="B62" s="38"/>
      <c r="C62" s="29"/>
      <c r="D62" s="30"/>
      <c r="E62" s="30"/>
      <c r="F62" s="34"/>
      <c r="G62" s="35"/>
      <c r="H62" s="39"/>
      <c r="I62" s="35"/>
      <c r="J62" s="5"/>
      <c r="K62" s="5"/>
      <c r="L62" s="5"/>
      <c r="M62" s="5"/>
      <c r="N62" s="5"/>
      <c r="O62" s="5"/>
      <c r="P62" s="5"/>
      <c r="Q62" s="5"/>
      <c r="R62" s="5"/>
      <c r="S62" s="5"/>
      <c r="T62" s="5"/>
      <c r="U62" s="5"/>
      <c r="V62" s="5"/>
      <c r="W62" s="5"/>
      <c r="X62" s="5"/>
      <c r="Y62" s="5"/>
      <c r="Z62" s="5"/>
      <c r="AA62" s="5"/>
      <c r="AB62" s="5"/>
    </row>
    <row r="63" spans="1:28" ht="18">
      <c r="A63" s="32" t="s">
        <v>18</v>
      </c>
      <c r="B63" s="33">
        <v>11.988975</v>
      </c>
      <c r="C63" s="29">
        <v>12.58842375</v>
      </c>
      <c r="D63" s="34">
        <v>13.187844937500001</v>
      </c>
      <c r="E63" s="34">
        <v>14.49</v>
      </c>
      <c r="F63" s="34">
        <f>SUM(D63,G63,H63)</f>
        <v>13.867237184375002</v>
      </c>
      <c r="G63" s="35">
        <f>D63*0.05</f>
        <v>0.65939224687500009</v>
      </c>
      <c r="H63" s="36">
        <v>0.02</v>
      </c>
      <c r="I63" s="35">
        <f>F63-D63</f>
        <v>0.67939224687500044</v>
      </c>
      <c r="J63" s="5"/>
      <c r="K63" s="5"/>
      <c r="L63" s="5"/>
      <c r="M63" s="5"/>
      <c r="N63" s="5"/>
      <c r="O63" s="5"/>
      <c r="P63" s="5"/>
      <c r="Q63" s="5"/>
      <c r="R63" s="5"/>
      <c r="S63" s="5"/>
      <c r="T63" s="5"/>
      <c r="U63" s="5"/>
      <c r="V63" s="5"/>
      <c r="W63" s="5"/>
      <c r="X63" s="5"/>
      <c r="Y63" s="5"/>
      <c r="Z63" s="5"/>
      <c r="AA63" s="5"/>
      <c r="AB63" s="5"/>
    </row>
    <row r="64" spans="1:28" ht="18">
      <c r="A64" s="42"/>
      <c r="B64" s="38"/>
      <c r="C64" s="29"/>
      <c r="D64" s="30"/>
      <c r="E64" s="30"/>
      <c r="F64" s="34"/>
      <c r="G64" s="35"/>
      <c r="H64" s="39"/>
      <c r="I64" s="35"/>
      <c r="J64" s="5"/>
      <c r="K64" s="5"/>
      <c r="L64" s="5"/>
      <c r="M64" s="5"/>
      <c r="N64" s="5"/>
      <c r="O64" s="5"/>
      <c r="P64" s="5"/>
      <c r="Q64" s="5"/>
      <c r="R64" s="5"/>
      <c r="S64" s="5"/>
      <c r="T64" s="5"/>
      <c r="U64" s="5"/>
      <c r="V64" s="5"/>
      <c r="W64" s="5"/>
      <c r="X64" s="5"/>
      <c r="Y64" s="5"/>
      <c r="Z64" s="5"/>
      <c r="AA64" s="5"/>
      <c r="AB64" s="5"/>
    </row>
    <row r="65" spans="1:28" ht="18">
      <c r="A65" s="40" t="s">
        <v>54</v>
      </c>
      <c r="B65" s="38"/>
      <c r="C65" s="29"/>
      <c r="D65" s="30"/>
      <c r="E65" s="30"/>
      <c r="F65" s="34"/>
      <c r="G65" s="35"/>
      <c r="H65" s="39"/>
      <c r="I65" s="35"/>
      <c r="J65" s="5"/>
      <c r="K65" s="5"/>
      <c r="L65" s="5"/>
      <c r="M65" s="5"/>
      <c r="N65" s="5"/>
      <c r="O65" s="5"/>
      <c r="P65" s="5"/>
      <c r="Q65" s="5"/>
      <c r="R65" s="5"/>
      <c r="S65" s="5"/>
      <c r="T65" s="5"/>
      <c r="U65" s="5"/>
      <c r="V65" s="5"/>
      <c r="W65" s="5"/>
      <c r="X65" s="5"/>
      <c r="Y65" s="5"/>
      <c r="Z65" s="5"/>
      <c r="AA65" s="5"/>
      <c r="AB65" s="5"/>
    </row>
    <row r="66" spans="1:28" ht="18">
      <c r="A66" s="32" t="s">
        <v>18</v>
      </c>
      <c r="B66" s="33">
        <v>9.9889749999999999</v>
      </c>
      <c r="C66" s="29">
        <v>10.488423750000001</v>
      </c>
      <c r="D66" s="34">
        <v>10.992844937500001</v>
      </c>
      <c r="E66" s="34">
        <v>11.89</v>
      </c>
      <c r="F66" s="34">
        <f t="shared" ref="F66:F67" si="26">SUM(D66,G66,H66)</f>
        <v>11.542487184375002</v>
      </c>
      <c r="G66" s="35">
        <f t="shared" ref="G66:G67" si="27">D66*0.05</f>
        <v>0.54964224687500007</v>
      </c>
      <c r="H66" s="36">
        <v>0</v>
      </c>
      <c r="I66" s="35">
        <f t="shared" ref="I66:I67" si="28">F66-D66</f>
        <v>0.54964224687500085</v>
      </c>
      <c r="J66" s="5"/>
      <c r="K66" s="5"/>
      <c r="L66" s="5"/>
      <c r="M66" s="5"/>
      <c r="N66" s="5"/>
      <c r="O66" s="5"/>
      <c r="P66" s="5"/>
      <c r="Q66" s="5"/>
      <c r="R66" s="5"/>
      <c r="S66" s="5"/>
      <c r="T66" s="5"/>
      <c r="U66" s="5"/>
      <c r="V66" s="5"/>
      <c r="W66" s="5"/>
      <c r="X66" s="5"/>
      <c r="Y66" s="5"/>
      <c r="Z66" s="5"/>
      <c r="AA66" s="5"/>
      <c r="AB66" s="5"/>
    </row>
    <row r="67" spans="1:28" ht="18">
      <c r="A67" s="32" t="s">
        <v>20</v>
      </c>
      <c r="B67" s="33">
        <v>8.9939750000000007</v>
      </c>
      <c r="C67" s="29">
        <v>9.493673750000001</v>
      </c>
      <c r="D67" s="34">
        <v>9.9883574375000013</v>
      </c>
      <c r="E67" s="34">
        <v>7.89</v>
      </c>
      <c r="F67" s="34">
        <f t="shared" si="26"/>
        <v>10.487775309375001</v>
      </c>
      <c r="G67" s="35">
        <f t="shared" si="27"/>
        <v>0.49941787187500009</v>
      </c>
      <c r="H67" s="36">
        <v>0</v>
      </c>
      <c r="I67" s="35">
        <f t="shared" si="28"/>
        <v>0.49941787187499997</v>
      </c>
      <c r="J67" s="5"/>
      <c r="K67" s="5"/>
      <c r="L67" s="5"/>
      <c r="M67" s="5"/>
      <c r="N67" s="5"/>
      <c r="O67" s="5"/>
      <c r="P67" s="5"/>
      <c r="Q67" s="5"/>
      <c r="R67" s="5"/>
      <c r="S67" s="5"/>
      <c r="T67" s="5"/>
      <c r="U67" s="5"/>
      <c r="V67" s="5"/>
      <c r="W67" s="5"/>
      <c r="X67" s="5"/>
      <c r="Y67" s="5"/>
      <c r="Z67" s="5"/>
      <c r="AA67" s="5"/>
      <c r="AB67" s="5"/>
    </row>
    <row r="68" spans="1:28" ht="18">
      <c r="A68" s="42"/>
      <c r="B68" s="38"/>
      <c r="C68" s="29"/>
      <c r="D68" s="30"/>
      <c r="E68" s="30"/>
      <c r="F68" s="34"/>
      <c r="G68" s="35"/>
      <c r="H68" s="39"/>
      <c r="I68" s="35"/>
      <c r="J68" s="5"/>
      <c r="K68" s="5"/>
      <c r="L68" s="5"/>
      <c r="M68" s="5"/>
      <c r="N68" s="5"/>
      <c r="O68" s="5"/>
      <c r="P68" s="5"/>
      <c r="Q68" s="5"/>
      <c r="R68" s="5"/>
      <c r="S68" s="5"/>
      <c r="T68" s="5"/>
      <c r="U68" s="5"/>
      <c r="V68" s="5"/>
      <c r="W68" s="5"/>
      <c r="X68" s="5"/>
      <c r="Y68" s="5"/>
      <c r="Z68" s="5"/>
      <c r="AA68" s="5"/>
      <c r="AB68" s="5"/>
    </row>
    <row r="69" spans="1:28" ht="18">
      <c r="A69" s="40" t="s">
        <v>55</v>
      </c>
      <c r="B69" s="38"/>
      <c r="C69" s="29"/>
      <c r="D69" s="30"/>
      <c r="E69" s="30"/>
      <c r="F69" s="34"/>
      <c r="G69" s="35"/>
      <c r="H69" s="39"/>
      <c r="I69" s="35"/>
      <c r="J69" s="5"/>
      <c r="K69" s="5"/>
      <c r="L69" s="5"/>
      <c r="M69" s="5"/>
      <c r="N69" s="5"/>
      <c r="O69" s="5"/>
      <c r="P69" s="5"/>
      <c r="Q69" s="5"/>
      <c r="R69" s="5"/>
      <c r="S69" s="5"/>
      <c r="T69" s="5"/>
      <c r="U69" s="5"/>
      <c r="V69" s="5"/>
      <c r="W69" s="5"/>
      <c r="X69" s="5"/>
      <c r="Y69" s="5"/>
      <c r="Z69" s="5"/>
      <c r="AA69" s="5"/>
      <c r="AB69" s="5"/>
    </row>
    <row r="70" spans="1:28" ht="18">
      <c r="A70" s="32" t="s">
        <v>18</v>
      </c>
      <c r="B70" s="33">
        <v>8.9892249999999994</v>
      </c>
      <c r="C70" s="29">
        <v>9.4886862500000007</v>
      </c>
      <c r="D70" s="34">
        <v>9.9931205624999997</v>
      </c>
      <c r="E70" s="34">
        <v>10.89</v>
      </c>
      <c r="F70" s="34">
        <f>SUM(D70,G70,H70)</f>
        <v>10.492776590624999</v>
      </c>
      <c r="G70" s="35">
        <f>D70*0.05</f>
        <v>0.49965602812499998</v>
      </c>
      <c r="H70" s="36">
        <v>0</v>
      </c>
      <c r="I70" s="35">
        <f>F70-D70</f>
        <v>0.4996560281249991</v>
      </c>
      <c r="J70" s="5"/>
      <c r="K70" s="5"/>
      <c r="L70" s="5"/>
      <c r="M70" s="5"/>
      <c r="N70" s="5"/>
      <c r="O70" s="5"/>
      <c r="P70" s="5"/>
      <c r="Q70" s="5"/>
      <c r="R70" s="5"/>
      <c r="S70" s="5"/>
      <c r="T70" s="5"/>
      <c r="U70" s="5"/>
      <c r="V70" s="5"/>
      <c r="W70" s="5"/>
      <c r="X70" s="5"/>
      <c r="Y70" s="5"/>
      <c r="Z70" s="5"/>
      <c r="AA70" s="5"/>
      <c r="AB70" s="5"/>
    </row>
    <row r="71" spans="1:28" ht="18">
      <c r="A71" s="32" t="s">
        <v>20</v>
      </c>
      <c r="B71" s="41" t="s">
        <v>121</v>
      </c>
      <c r="C71" s="29" t="s">
        <v>121</v>
      </c>
      <c r="D71" s="41" t="s">
        <v>121</v>
      </c>
      <c r="E71" s="61"/>
      <c r="F71" s="34"/>
      <c r="G71" s="35"/>
      <c r="H71" s="36">
        <v>0</v>
      </c>
      <c r="I71" s="35"/>
      <c r="J71" s="5"/>
      <c r="K71" s="5"/>
      <c r="L71" s="5"/>
      <c r="M71" s="5"/>
      <c r="N71" s="5"/>
      <c r="O71" s="5"/>
      <c r="P71" s="5"/>
      <c r="Q71" s="5"/>
      <c r="R71" s="5"/>
      <c r="S71" s="5"/>
      <c r="T71" s="5"/>
      <c r="U71" s="5"/>
      <c r="V71" s="5"/>
      <c r="W71" s="5"/>
      <c r="X71" s="5"/>
      <c r="Y71" s="5"/>
      <c r="Z71" s="5"/>
      <c r="AA71" s="5"/>
      <c r="AB71" s="5"/>
    </row>
    <row r="72" spans="1:28" ht="18">
      <c r="A72" s="42"/>
      <c r="B72" s="38"/>
      <c r="C72" s="29"/>
      <c r="D72" s="30"/>
      <c r="E72" s="30"/>
      <c r="F72" s="34"/>
      <c r="G72" s="35"/>
      <c r="H72" s="39"/>
      <c r="I72" s="35"/>
      <c r="J72" s="5"/>
      <c r="K72" s="5"/>
      <c r="L72" s="5"/>
      <c r="M72" s="5"/>
      <c r="N72" s="5"/>
      <c r="O72" s="5"/>
      <c r="P72" s="5"/>
      <c r="Q72" s="5"/>
      <c r="R72" s="5"/>
      <c r="S72" s="5"/>
      <c r="T72" s="5"/>
      <c r="U72" s="5"/>
      <c r="V72" s="5"/>
      <c r="W72" s="5"/>
      <c r="X72" s="5"/>
      <c r="Y72" s="5"/>
      <c r="Z72" s="5"/>
      <c r="AA72" s="5"/>
      <c r="AB72" s="5"/>
    </row>
    <row r="73" spans="1:28" ht="18">
      <c r="A73" s="40" t="s">
        <v>56</v>
      </c>
      <c r="B73" s="38"/>
      <c r="C73" s="29"/>
      <c r="D73" s="30"/>
      <c r="E73" s="30"/>
      <c r="F73" s="34"/>
      <c r="G73" s="35"/>
      <c r="H73" s="39"/>
      <c r="I73" s="35"/>
      <c r="J73" s="5"/>
      <c r="K73" s="5"/>
      <c r="L73" s="5"/>
      <c r="M73" s="5"/>
      <c r="N73" s="5"/>
      <c r="O73" s="5"/>
      <c r="P73" s="5"/>
      <c r="Q73" s="5"/>
      <c r="R73" s="5"/>
      <c r="S73" s="5"/>
      <c r="T73" s="5"/>
      <c r="U73" s="5"/>
      <c r="V73" s="5"/>
      <c r="W73" s="5"/>
      <c r="X73" s="5"/>
      <c r="Y73" s="5"/>
      <c r="Z73" s="5"/>
      <c r="AA73" s="5"/>
      <c r="AB73" s="5"/>
    </row>
    <row r="74" spans="1:28" ht="18">
      <c r="A74" s="32" t="s">
        <v>57</v>
      </c>
      <c r="B74" s="33">
        <v>2.3889749999999998</v>
      </c>
      <c r="C74" s="29">
        <v>2.58842375</v>
      </c>
      <c r="D74" s="34">
        <v>2.6878449375000004</v>
      </c>
      <c r="E74" s="34">
        <v>2.69</v>
      </c>
      <c r="F74" s="34">
        <f>SUM(D74,G74,H74)</f>
        <v>2.8522371843750003</v>
      </c>
      <c r="G74" s="35">
        <f>D74*0.05</f>
        <v>0.13439224687500004</v>
      </c>
      <c r="H74" s="36">
        <v>0.03</v>
      </c>
      <c r="I74" s="35">
        <f>F74-D74</f>
        <v>0.16439224687499987</v>
      </c>
      <c r="J74" s="5"/>
      <c r="K74" s="5"/>
      <c r="L74" s="5"/>
      <c r="M74" s="5"/>
      <c r="N74" s="5"/>
      <c r="O74" s="5"/>
      <c r="P74" s="5"/>
      <c r="Q74" s="5"/>
      <c r="R74" s="5"/>
      <c r="S74" s="5"/>
      <c r="T74" s="5"/>
      <c r="U74" s="5"/>
      <c r="V74" s="5"/>
      <c r="W74" s="5"/>
      <c r="X74" s="5"/>
      <c r="Y74" s="5"/>
      <c r="Z74" s="5"/>
      <c r="AA74" s="5"/>
      <c r="AB74" s="5"/>
    </row>
    <row r="75" spans="1:28" ht="18">
      <c r="A75" s="32" t="s">
        <v>58</v>
      </c>
      <c r="B75" s="41" t="s">
        <v>121</v>
      </c>
      <c r="C75" s="29" t="s">
        <v>121</v>
      </c>
      <c r="D75" s="41" t="s">
        <v>121</v>
      </c>
      <c r="E75" s="34">
        <v>2.69</v>
      </c>
      <c r="F75" s="34"/>
      <c r="G75" s="35"/>
      <c r="H75" s="36">
        <v>0</v>
      </c>
      <c r="I75" s="35"/>
      <c r="J75" s="5"/>
      <c r="K75" s="5"/>
      <c r="L75" s="5"/>
      <c r="M75" s="5"/>
      <c r="N75" s="5"/>
      <c r="O75" s="5"/>
      <c r="P75" s="5"/>
      <c r="Q75" s="5"/>
      <c r="R75" s="5"/>
      <c r="S75" s="5"/>
      <c r="T75" s="5"/>
      <c r="U75" s="5"/>
      <c r="V75" s="5"/>
      <c r="W75" s="5"/>
      <c r="X75" s="5"/>
      <c r="Y75" s="5"/>
      <c r="Z75" s="5"/>
      <c r="AA75" s="5"/>
      <c r="AB75" s="5"/>
    </row>
    <row r="76" spans="1:28" ht="18">
      <c r="A76" s="32" t="s">
        <v>59</v>
      </c>
      <c r="B76" s="33">
        <v>2.3889749999999998</v>
      </c>
      <c r="C76" s="29">
        <v>2.58842375</v>
      </c>
      <c r="D76" s="34">
        <v>2.6878449375000004</v>
      </c>
      <c r="E76" s="34">
        <v>2.69</v>
      </c>
      <c r="F76" s="34">
        <f t="shared" ref="F76:F78" si="29">SUM(D76,G76,H76)</f>
        <v>2.7922371843750007</v>
      </c>
      <c r="G76" s="35">
        <f t="shared" ref="G76:G78" si="30">D76*0.05</f>
        <v>0.13439224687500004</v>
      </c>
      <c r="H76" s="36">
        <v>-0.03</v>
      </c>
      <c r="I76" s="35">
        <f t="shared" ref="I76:I78" si="31">F76-D76</f>
        <v>0.10439224687500026</v>
      </c>
      <c r="J76" s="5"/>
      <c r="K76" s="5"/>
      <c r="L76" s="5"/>
      <c r="M76" s="5"/>
      <c r="N76" s="5"/>
      <c r="O76" s="5"/>
      <c r="P76" s="5"/>
      <c r="Q76" s="5"/>
      <c r="R76" s="5"/>
      <c r="S76" s="5"/>
      <c r="T76" s="5"/>
      <c r="U76" s="5"/>
      <c r="V76" s="5"/>
      <c r="W76" s="5"/>
      <c r="X76" s="5"/>
      <c r="Y76" s="5"/>
      <c r="Z76" s="5"/>
      <c r="AA76" s="5"/>
      <c r="AB76" s="5"/>
    </row>
    <row r="77" spans="1:28" ht="18">
      <c r="A77" s="32" t="s">
        <v>60</v>
      </c>
      <c r="B77" s="33">
        <v>2.3889749999999998</v>
      </c>
      <c r="C77" s="29">
        <v>2.58842375</v>
      </c>
      <c r="D77" s="34">
        <v>2.6878449375000004</v>
      </c>
      <c r="E77" s="34">
        <v>2.69</v>
      </c>
      <c r="F77" s="34">
        <f t="shared" si="29"/>
        <v>2.7922371843750007</v>
      </c>
      <c r="G77" s="35">
        <f t="shared" si="30"/>
        <v>0.13439224687500004</v>
      </c>
      <c r="H77" s="36">
        <v>-0.03</v>
      </c>
      <c r="I77" s="35">
        <f t="shared" si="31"/>
        <v>0.10439224687500026</v>
      </c>
      <c r="J77" s="5"/>
      <c r="K77" s="5"/>
      <c r="L77" s="5"/>
      <c r="M77" s="5"/>
      <c r="N77" s="5"/>
      <c r="O77" s="5"/>
      <c r="P77" s="5"/>
      <c r="Q77" s="5"/>
      <c r="R77" s="5"/>
      <c r="S77" s="5"/>
      <c r="T77" s="5"/>
      <c r="U77" s="5"/>
      <c r="V77" s="5"/>
      <c r="W77" s="5"/>
      <c r="X77" s="5"/>
      <c r="Y77" s="5"/>
      <c r="Z77" s="5"/>
      <c r="AA77" s="5"/>
      <c r="AB77" s="5"/>
    </row>
    <row r="78" spans="1:28" ht="18">
      <c r="A78" s="32" t="s">
        <v>61</v>
      </c>
      <c r="B78" s="33">
        <v>2.3889749999999998</v>
      </c>
      <c r="C78" s="29">
        <v>2.58842375</v>
      </c>
      <c r="D78" s="34">
        <v>2.6878449375000004</v>
      </c>
      <c r="E78" s="34">
        <v>2.69</v>
      </c>
      <c r="F78" s="34">
        <f t="shared" si="29"/>
        <v>2.7922371843750007</v>
      </c>
      <c r="G78" s="35">
        <f t="shared" si="30"/>
        <v>0.13439224687500004</v>
      </c>
      <c r="H78" s="36">
        <v>-0.03</v>
      </c>
      <c r="I78" s="35">
        <f t="shared" si="31"/>
        <v>0.10439224687500026</v>
      </c>
      <c r="J78" s="5"/>
      <c r="K78" s="5"/>
      <c r="L78" s="5"/>
      <c r="M78" s="5"/>
      <c r="N78" s="5"/>
      <c r="O78" s="5"/>
      <c r="P78" s="5"/>
      <c r="Q78" s="5"/>
      <c r="R78" s="5"/>
      <c r="S78" s="5"/>
      <c r="T78" s="5"/>
      <c r="U78" s="5"/>
      <c r="V78" s="5"/>
      <c r="W78" s="5"/>
      <c r="X78" s="5"/>
      <c r="Y78" s="5"/>
      <c r="Z78" s="5"/>
      <c r="AA78" s="5"/>
      <c r="AB78" s="5"/>
    </row>
    <row r="79" spans="1:28" ht="18">
      <c r="A79" s="32" t="s">
        <v>62</v>
      </c>
      <c r="B79" s="41" t="s">
        <v>121</v>
      </c>
      <c r="C79" s="29" t="s">
        <v>121</v>
      </c>
      <c r="D79" s="41" t="s">
        <v>121</v>
      </c>
      <c r="E79" s="61"/>
      <c r="F79" s="34"/>
      <c r="G79" s="35"/>
      <c r="H79" s="36">
        <v>0</v>
      </c>
      <c r="I79" s="35"/>
      <c r="J79" s="5"/>
      <c r="K79" s="5"/>
      <c r="L79" s="5"/>
      <c r="M79" s="5"/>
      <c r="N79" s="5"/>
      <c r="O79" s="5"/>
      <c r="P79" s="5"/>
      <c r="Q79" s="5"/>
      <c r="R79" s="5"/>
      <c r="S79" s="5"/>
      <c r="T79" s="5"/>
      <c r="U79" s="5"/>
      <c r="V79" s="5"/>
      <c r="W79" s="5"/>
      <c r="X79" s="5"/>
      <c r="Y79" s="5"/>
      <c r="Z79" s="5"/>
      <c r="AA79" s="5"/>
      <c r="AB79" s="5"/>
    </row>
    <row r="80" spans="1:28" ht="18">
      <c r="A80" s="32" t="s">
        <v>63</v>
      </c>
      <c r="B80" s="41" t="s">
        <v>121</v>
      </c>
      <c r="C80" s="29" t="s">
        <v>121</v>
      </c>
      <c r="D80" s="41" t="s">
        <v>121</v>
      </c>
      <c r="E80" s="61"/>
      <c r="F80" s="34"/>
      <c r="G80" s="35"/>
      <c r="H80" s="36">
        <v>0</v>
      </c>
      <c r="I80" s="35"/>
      <c r="J80" s="5"/>
      <c r="K80" s="5"/>
      <c r="L80" s="5"/>
      <c r="M80" s="5"/>
      <c r="N80" s="5"/>
      <c r="O80" s="5"/>
      <c r="P80" s="5"/>
      <c r="Q80" s="5"/>
      <c r="R80" s="5"/>
      <c r="S80" s="5"/>
      <c r="T80" s="5"/>
      <c r="U80" s="5"/>
      <c r="V80" s="5"/>
      <c r="W80" s="5"/>
      <c r="X80" s="5"/>
      <c r="Y80" s="5"/>
      <c r="Z80" s="5"/>
      <c r="AA80" s="5"/>
      <c r="AB80" s="5"/>
    </row>
    <row r="81" spans="1:28" ht="18">
      <c r="A81" s="32" t="s">
        <v>64</v>
      </c>
      <c r="B81" s="41" t="s">
        <v>121</v>
      </c>
      <c r="C81" s="29" t="s">
        <v>121</v>
      </c>
      <c r="D81" s="41" t="s">
        <v>121</v>
      </c>
      <c r="E81" s="61"/>
      <c r="F81" s="34"/>
      <c r="G81" s="35"/>
      <c r="H81" s="36">
        <v>0</v>
      </c>
      <c r="I81" s="35"/>
      <c r="J81" s="5"/>
      <c r="K81" s="5"/>
      <c r="L81" s="5"/>
      <c r="M81" s="5"/>
      <c r="N81" s="5"/>
      <c r="O81" s="5"/>
      <c r="P81" s="5"/>
      <c r="Q81" s="5"/>
      <c r="R81" s="5"/>
      <c r="S81" s="5"/>
      <c r="T81" s="5"/>
      <c r="U81" s="5"/>
      <c r="V81" s="5"/>
      <c r="W81" s="5"/>
      <c r="X81" s="5"/>
      <c r="Y81" s="5"/>
      <c r="Z81" s="5"/>
      <c r="AA81" s="5"/>
      <c r="AB81" s="5"/>
    </row>
    <row r="82" spans="1:28" ht="18">
      <c r="A82" s="32" t="s">
        <v>65</v>
      </c>
      <c r="B82" s="41" t="s">
        <v>121</v>
      </c>
      <c r="C82" s="29" t="s">
        <v>121</v>
      </c>
      <c r="D82" s="41" t="s">
        <v>121</v>
      </c>
      <c r="E82" s="34">
        <v>3.79</v>
      </c>
      <c r="F82" s="34"/>
      <c r="G82" s="35"/>
      <c r="H82" s="36">
        <v>0</v>
      </c>
      <c r="I82" s="35"/>
      <c r="J82" s="5"/>
      <c r="K82" s="5"/>
      <c r="L82" s="5"/>
      <c r="M82" s="5"/>
      <c r="N82" s="5"/>
      <c r="O82" s="5"/>
      <c r="P82" s="5"/>
      <c r="Q82" s="5"/>
      <c r="R82" s="5"/>
      <c r="S82" s="5"/>
      <c r="T82" s="5"/>
      <c r="U82" s="5"/>
      <c r="V82" s="5"/>
      <c r="W82" s="5"/>
      <c r="X82" s="5"/>
      <c r="Y82" s="5"/>
      <c r="Z82" s="5"/>
      <c r="AA82" s="5"/>
      <c r="AB82" s="5"/>
    </row>
    <row r="83" spans="1:28" ht="18">
      <c r="A83" s="32" t="s">
        <v>66</v>
      </c>
      <c r="B83" s="41" t="s">
        <v>121</v>
      </c>
      <c r="C83" s="29" t="s">
        <v>121</v>
      </c>
      <c r="D83" s="41" t="s">
        <v>121</v>
      </c>
      <c r="E83" s="61"/>
      <c r="F83" s="34"/>
      <c r="G83" s="35"/>
      <c r="H83" s="36">
        <v>0</v>
      </c>
      <c r="I83" s="35"/>
      <c r="J83" s="5"/>
      <c r="K83" s="5"/>
      <c r="L83" s="5"/>
      <c r="M83" s="5"/>
      <c r="N83" s="5"/>
      <c r="O83" s="5"/>
      <c r="P83" s="5"/>
      <c r="Q83" s="5"/>
      <c r="R83" s="5"/>
      <c r="S83" s="5"/>
      <c r="T83" s="5"/>
      <c r="U83" s="5"/>
      <c r="V83" s="5"/>
      <c r="W83" s="5"/>
      <c r="X83" s="5"/>
      <c r="Y83" s="5"/>
      <c r="Z83" s="5"/>
      <c r="AA83" s="5"/>
      <c r="AB83" s="5"/>
    </row>
    <row r="84" spans="1:28" ht="18">
      <c r="A84" s="32" t="s">
        <v>67</v>
      </c>
      <c r="B84" s="41" t="s">
        <v>121</v>
      </c>
      <c r="C84" s="29" t="s">
        <v>121</v>
      </c>
      <c r="D84" s="41" t="s">
        <v>121</v>
      </c>
      <c r="E84" s="61"/>
      <c r="F84" s="34"/>
      <c r="G84" s="35"/>
      <c r="H84" s="36">
        <v>0</v>
      </c>
      <c r="I84" s="35"/>
      <c r="J84" s="5"/>
      <c r="K84" s="5"/>
      <c r="L84" s="5"/>
      <c r="M84" s="5"/>
      <c r="N84" s="5"/>
      <c r="O84" s="5"/>
      <c r="P84" s="5"/>
      <c r="Q84" s="5"/>
      <c r="R84" s="5"/>
      <c r="S84" s="5"/>
      <c r="T84" s="5"/>
      <c r="U84" s="5"/>
      <c r="V84" s="5"/>
      <c r="W84" s="5"/>
      <c r="X84" s="5"/>
      <c r="Y84" s="5"/>
      <c r="Z84" s="5"/>
      <c r="AA84" s="5"/>
      <c r="AB84" s="5"/>
    </row>
    <row r="85" spans="1:28" ht="18">
      <c r="A85" s="32" t="s">
        <v>68</v>
      </c>
      <c r="B85" s="41" t="s">
        <v>121</v>
      </c>
      <c r="C85" s="29" t="s">
        <v>121</v>
      </c>
      <c r="D85" s="41" t="s">
        <v>121</v>
      </c>
      <c r="E85" s="61"/>
      <c r="F85" s="34"/>
      <c r="G85" s="35"/>
      <c r="H85" s="36">
        <v>0</v>
      </c>
      <c r="I85" s="35"/>
      <c r="J85" s="5"/>
      <c r="K85" s="5"/>
      <c r="L85" s="5"/>
      <c r="M85" s="5"/>
      <c r="N85" s="5"/>
      <c r="O85" s="5"/>
      <c r="P85" s="5"/>
      <c r="Q85" s="5"/>
      <c r="R85" s="5"/>
      <c r="S85" s="5"/>
      <c r="T85" s="5"/>
      <c r="U85" s="5"/>
      <c r="V85" s="5"/>
      <c r="W85" s="5"/>
      <c r="X85" s="5"/>
      <c r="Y85" s="5"/>
      <c r="Z85" s="5"/>
      <c r="AA85" s="5"/>
      <c r="AB85" s="5"/>
    </row>
    <row r="86" spans="1:28" ht="18">
      <c r="A86" s="32" t="s">
        <v>69</v>
      </c>
      <c r="B86" s="41" t="s">
        <v>121</v>
      </c>
      <c r="C86" s="29" t="s">
        <v>121</v>
      </c>
      <c r="D86" s="41" t="s">
        <v>121</v>
      </c>
      <c r="E86" s="61"/>
      <c r="F86" s="34"/>
      <c r="G86" s="35"/>
      <c r="H86" s="36">
        <v>0</v>
      </c>
      <c r="I86" s="35"/>
      <c r="J86" s="5"/>
      <c r="K86" s="5"/>
      <c r="L86" s="5"/>
      <c r="M86" s="5"/>
      <c r="N86" s="5"/>
      <c r="O86" s="5"/>
      <c r="P86" s="5"/>
      <c r="Q86" s="5"/>
      <c r="R86" s="5"/>
      <c r="S86" s="5"/>
      <c r="T86" s="5"/>
      <c r="U86" s="5"/>
      <c r="V86" s="5"/>
      <c r="W86" s="5"/>
      <c r="X86" s="5"/>
      <c r="Y86" s="5"/>
      <c r="Z86" s="5"/>
      <c r="AA86" s="5"/>
      <c r="AB86" s="5"/>
    </row>
    <row r="87" spans="1:28" ht="18">
      <c r="A87" s="32" t="s">
        <v>70</v>
      </c>
      <c r="B87" s="41" t="s">
        <v>121</v>
      </c>
      <c r="C87" s="29" t="s">
        <v>121</v>
      </c>
      <c r="D87" s="41" t="s">
        <v>121</v>
      </c>
      <c r="E87" s="61"/>
      <c r="F87" s="34"/>
      <c r="G87" s="35"/>
      <c r="H87" s="36">
        <v>0</v>
      </c>
      <c r="I87" s="35"/>
      <c r="J87" s="5"/>
      <c r="K87" s="5"/>
      <c r="L87" s="5"/>
      <c r="M87" s="5"/>
      <c r="N87" s="5"/>
      <c r="O87" s="5"/>
      <c r="P87" s="5"/>
      <c r="Q87" s="5"/>
      <c r="R87" s="5"/>
      <c r="S87" s="5"/>
      <c r="T87" s="5"/>
      <c r="U87" s="5"/>
      <c r="V87" s="5"/>
      <c r="W87" s="5"/>
      <c r="X87" s="5"/>
      <c r="Y87" s="5"/>
      <c r="Z87" s="5"/>
      <c r="AA87" s="5"/>
      <c r="AB87" s="5"/>
    </row>
    <row r="88" spans="1:28" s="58" customFormat="1" ht="18">
      <c r="A88" s="74" t="s">
        <v>133</v>
      </c>
      <c r="B88" s="75"/>
      <c r="C88" s="76"/>
      <c r="D88" s="77"/>
      <c r="E88" s="34">
        <v>2.69</v>
      </c>
      <c r="F88" s="78"/>
      <c r="G88" s="79"/>
      <c r="H88" s="80"/>
      <c r="I88" s="79"/>
      <c r="J88" s="57"/>
      <c r="K88" s="57"/>
      <c r="L88" s="57"/>
      <c r="M88" s="57"/>
      <c r="N88" s="57"/>
      <c r="O88" s="57"/>
      <c r="P88" s="57"/>
      <c r="Q88" s="57"/>
      <c r="R88" s="57"/>
      <c r="S88" s="57"/>
      <c r="T88" s="57"/>
      <c r="U88" s="57"/>
      <c r="V88" s="57"/>
      <c r="W88" s="57"/>
      <c r="X88" s="57"/>
      <c r="Y88" s="57"/>
      <c r="Z88" s="57"/>
      <c r="AA88" s="57"/>
      <c r="AB88" s="57"/>
    </row>
    <row r="89" spans="1:28" ht="18">
      <c r="A89" s="42"/>
      <c r="B89" s="38"/>
      <c r="C89" s="29"/>
      <c r="D89" s="30"/>
      <c r="E89" s="30"/>
      <c r="F89" s="34"/>
      <c r="G89" s="35"/>
      <c r="H89" s="39"/>
      <c r="I89" s="35"/>
      <c r="J89" s="5"/>
      <c r="K89" s="5"/>
      <c r="L89" s="5"/>
      <c r="M89" s="5"/>
      <c r="N89" s="5"/>
      <c r="O89" s="5"/>
      <c r="P89" s="5"/>
      <c r="Q89" s="5"/>
      <c r="R89" s="5"/>
      <c r="S89" s="5"/>
      <c r="T89" s="5"/>
      <c r="U89" s="5"/>
      <c r="V89" s="5"/>
      <c r="W89" s="5"/>
      <c r="X89" s="5"/>
      <c r="Y89" s="5"/>
      <c r="Z89" s="5"/>
      <c r="AA89" s="5"/>
      <c r="AB89" s="5"/>
    </row>
    <row r="90" spans="1:28" ht="18">
      <c r="A90" s="40" t="s">
        <v>71</v>
      </c>
      <c r="B90" s="38"/>
      <c r="C90" s="29"/>
      <c r="D90" s="30"/>
      <c r="E90" s="30"/>
      <c r="F90" s="34"/>
      <c r="G90" s="35"/>
      <c r="H90" s="39"/>
      <c r="I90" s="35"/>
      <c r="J90" s="5"/>
      <c r="K90" s="5"/>
      <c r="L90" s="5"/>
      <c r="M90" s="5"/>
      <c r="N90" s="5"/>
      <c r="O90" s="5"/>
      <c r="P90" s="5"/>
      <c r="Q90" s="5"/>
      <c r="R90" s="5"/>
      <c r="S90" s="5"/>
      <c r="T90" s="5"/>
      <c r="U90" s="5"/>
      <c r="V90" s="5"/>
      <c r="W90" s="5"/>
      <c r="X90" s="5"/>
      <c r="Y90" s="5"/>
      <c r="Z90" s="5"/>
      <c r="AA90" s="5"/>
      <c r="AB90" s="5"/>
    </row>
    <row r="91" spans="1:28" ht="18">
      <c r="A91" s="32" t="s">
        <v>72</v>
      </c>
      <c r="B91" s="33">
        <v>4.5939750000000004</v>
      </c>
      <c r="C91" s="29">
        <v>4.8936737500000005</v>
      </c>
      <c r="D91" s="34">
        <v>5.0883574375000009</v>
      </c>
      <c r="E91" s="34">
        <v>5.29</v>
      </c>
      <c r="F91" s="34">
        <f t="shared" ref="F91:F92" si="32">SUM(D91,G91,H91)</f>
        <v>5.292775309375001</v>
      </c>
      <c r="G91" s="35">
        <f t="shared" ref="G91:G92" si="33">D91*0.05</f>
        <v>0.25441787187500003</v>
      </c>
      <c r="H91" s="36">
        <v>-0.05</v>
      </c>
      <c r="I91" s="35">
        <f t="shared" ref="I91:I92" si="34">F91-D91</f>
        <v>0.20441787187500005</v>
      </c>
      <c r="J91" s="5"/>
      <c r="K91" s="5"/>
      <c r="L91" s="5"/>
      <c r="M91" s="5"/>
      <c r="N91" s="5"/>
      <c r="O91" s="5"/>
      <c r="P91" s="5"/>
      <c r="Q91" s="5"/>
      <c r="R91" s="5"/>
      <c r="S91" s="5"/>
      <c r="T91" s="5"/>
      <c r="U91" s="5"/>
      <c r="V91" s="5"/>
      <c r="W91" s="5"/>
      <c r="X91" s="5"/>
      <c r="Y91" s="5"/>
      <c r="Z91" s="5"/>
      <c r="AA91" s="5"/>
      <c r="AB91" s="5"/>
    </row>
    <row r="92" spans="1:28" ht="18">
      <c r="A92" s="32" t="s">
        <v>73</v>
      </c>
      <c r="B92" s="33">
        <v>4.5939750000000004</v>
      </c>
      <c r="C92" s="29">
        <v>4.8936737500000005</v>
      </c>
      <c r="D92" s="34">
        <v>5.0883574375000009</v>
      </c>
      <c r="E92" s="34">
        <v>5.29</v>
      </c>
      <c r="F92" s="34">
        <f t="shared" si="32"/>
        <v>5.292775309375001</v>
      </c>
      <c r="G92" s="35">
        <f t="shared" si="33"/>
        <v>0.25441787187500003</v>
      </c>
      <c r="H92" s="36">
        <v>-0.05</v>
      </c>
      <c r="I92" s="35">
        <f t="shared" si="34"/>
        <v>0.20441787187500005</v>
      </c>
      <c r="J92" s="5"/>
      <c r="K92" s="5"/>
      <c r="L92" s="5"/>
      <c r="M92" s="5"/>
      <c r="N92" s="5"/>
      <c r="O92" s="5"/>
      <c r="P92" s="5"/>
      <c r="Q92" s="5"/>
      <c r="R92" s="5"/>
      <c r="S92" s="5"/>
      <c r="T92" s="5"/>
      <c r="U92" s="5"/>
      <c r="V92" s="5"/>
      <c r="W92" s="5"/>
      <c r="X92" s="5"/>
      <c r="Y92" s="5"/>
      <c r="Z92" s="5"/>
      <c r="AA92" s="5"/>
      <c r="AB92" s="5"/>
    </row>
    <row r="93" spans="1:28" ht="18">
      <c r="A93" s="37"/>
      <c r="B93" s="38"/>
      <c r="C93" s="29"/>
      <c r="D93" s="30"/>
      <c r="E93" s="30"/>
      <c r="F93" s="34"/>
      <c r="G93" s="35"/>
      <c r="H93" s="39"/>
      <c r="I93" s="35"/>
      <c r="J93" s="5"/>
      <c r="K93" s="5"/>
      <c r="L93" s="5"/>
      <c r="M93" s="5"/>
      <c r="N93" s="5"/>
      <c r="O93" s="5"/>
      <c r="P93" s="5"/>
      <c r="Q93" s="5"/>
      <c r="R93" s="5"/>
      <c r="S93" s="5"/>
      <c r="T93" s="5"/>
      <c r="U93" s="5"/>
      <c r="V93" s="5"/>
      <c r="W93" s="5"/>
      <c r="X93" s="5"/>
      <c r="Y93" s="5"/>
      <c r="Z93" s="5"/>
      <c r="AA93" s="5"/>
      <c r="AB93" s="5"/>
    </row>
    <row r="94" spans="1:28" ht="18">
      <c r="A94" s="40" t="s">
        <v>74</v>
      </c>
      <c r="B94" s="38"/>
      <c r="C94" s="29"/>
      <c r="D94" s="30"/>
      <c r="E94" s="30"/>
      <c r="F94" s="34"/>
      <c r="G94" s="35"/>
      <c r="H94" s="39"/>
      <c r="I94" s="35"/>
      <c r="J94" s="5"/>
      <c r="K94" s="5"/>
      <c r="L94" s="5"/>
      <c r="M94" s="5"/>
      <c r="N94" s="5"/>
      <c r="O94" s="5"/>
      <c r="P94" s="5"/>
      <c r="Q94" s="5"/>
      <c r="R94" s="5"/>
      <c r="S94" s="5"/>
      <c r="T94" s="5"/>
      <c r="U94" s="5"/>
      <c r="V94" s="5"/>
      <c r="W94" s="5"/>
      <c r="X94" s="5"/>
      <c r="Y94" s="5"/>
      <c r="Z94" s="5"/>
      <c r="AA94" s="5"/>
      <c r="AB94" s="5"/>
    </row>
    <row r="95" spans="1:28" ht="18">
      <c r="A95" s="32" t="s">
        <v>75</v>
      </c>
      <c r="B95" s="33">
        <v>199.98897500000001</v>
      </c>
      <c r="C95" s="29">
        <v>209.98842375000001</v>
      </c>
      <c r="D95" s="34">
        <v>220.4878449375</v>
      </c>
      <c r="E95" s="34">
        <v>226.99</v>
      </c>
      <c r="F95" s="34">
        <f>SUM(D95,G95,H95)</f>
        <v>231.54223718437501</v>
      </c>
      <c r="G95" s="35">
        <f>D95*0.05</f>
        <v>11.024392246875001</v>
      </c>
      <c r="H95" s="36">
        <v>0.03</v>
      </c>
      <c r="I95" s="35">
        <f>F95-D95</f>
        <v>11.054392246875011</v>
      </c>
      <c r="J95" s="5"/>
      <c r="K95" s="5"/>
      <c r="L95" s="5"/>
      <c r="M95" s="5"/>
      <c r="N95" s="5"/>
      <c r="O95" s="5"/>
      <c r="P95" s="5"/>
      <c r="Q95" s="5"/>
      <c r="R95" s="5"/>
      <c r="S95" s="5"/>
      <c r="T95" s="5"/>
      <c r="U95" s="5"/>
      <c r="V95" s="5"/>
      <c r="W95" s="5"/>
      <c r="X95" s="5"/>
      <c r="Y95" s="5"/>
      <c r="Z95" s="5"/>
      <c r="AA95" s="5"/>
      <c r="AB95" s="5"/>
    </row>
    <row r="96" spans="1:28" ht="18">
      <c r="A96" s="32" t="s">
        <v>76</v>
      </c>
      <c r="B96" s="41" t="s">
        <v>121</v>
      </c>
      <c r="C96" s="29" t="s">
        <v>121</v>
      </c>
      <c r="D96" s="41" t="s">
        <v>121</v>
      </c>
      <c r="E96" s="61"/>
      <c r="F96" s="34"/>
      <c r="G96" s="35"/>
      <c r="H96" s="36"/>
      <c r="I96" s="35"/>
      <c r="J96" s="5"/>
      <c r="K96" s="5"/>
      <c r="L96" s="5"/>
      <c r="M96" s="5"/>
      <c r="N96" s="5"/>
      <c r="O96" s="5"/>
      <c r="P96" s="5"/>
      <c r="Q96" s="5"/>
      <c r="R96" s="5"/>
      <c r="S96" s="5"/>
      <c r="T96" s="5"/>
      <c r="U96" s="5"/>
      <c r="V96" s="5"/>
      <c r="W96" s="5"/>
      <c r="X96" s="5"/>
      <c r="Y96" s="5"/>
      <c r="Z96" s="5"/>
      <c r="AA96" s="5"/>
      <c r="AB96" s="5"/>
    </row>
    <row r="97" spans="1:28" ht="18">
      <c r="A97" s="32" t="s">
        <v>77</v>
      </c>
      <c r="B97" s="41" t="s">
        <v>121</v>
      </c>
      <c r="C97" s="29" t="s">
        <v>121</v>
      </c>
      <c r="D97" s="41" t="s">
        <v>121</v>
      </c>
      <c r="E97" s="61"/>
      <c r="F97" s="34"/>
      <c r="G97" s="35"/>
      <c r="H97" s="36"/>
      <c r="I97" s="35"/>
      <c r="J97" s="5"/>
      <c r="K97" s="5"/>
      <c r="L97" s="5"/>
      <c r="M97" s="5"/>
      <c r="N97" s="5"/>
      <c r="O97" s="5"/>
      <c r="P97" s="5"/>
      <c r="Q97" s="5"/>
      <c r="R97" s="5"/>
      <c r="S97" s="5"/>
      <c r="T97" s="5"/>
      <c r="U97" s="5"/>
      <c r="V97" s="5"/>
      <c r="W97" s="5"/>
      <c r="X97" s="5"/>
      <c r="Y97" s="5"/>
      <c r="Z97" s="5"/>
      <c r="AA97" s="5"/>
      <c r="AB97" s="5"/>
    </row>
    <row r="98" spans="1:28" ht="18">
      <c r="A98" s="32" t="s">
        <v>78</v>
      </c>
      <c r="B98" s="41" t="s">
        <v>121</v>
      </c>
      <c r="C98" s="29" t="s">
        <v>121</v>
      </c>
      <c r="D98" s="41" t="s">
        <v>121</v>
      </c>
      <c r="E98" s="61"/>
      <c r="F98" s="34"/>
      <c r="G98" s="35"/>
      <c r="H98" s="36"/>
      <c r="I98" s="35"/>
      <c r="J98" s="5"/>
      <c r="K98" s="5"/>
      <c r="L98" s="5"/>
      <c r="M98" s="5"/>
      <c r="N98" s="5"/>
      <c r="O98" s="5"/>
      <c r="P98" s="5"/>
      <c r="Q98" s="5"/>
      <c r="R98" s="5"/>
      <c r="S98" s="5"/>
      <c r="T98" s="5"/>
      <c r="U98" s="5"/>
      <c r="V98" s="5"/>
      <c r="W98" s="5"/>
      <c r="X98" s="5"/>
      <c r="Y98" s="5"/>
      <c r="Z98" s="5"/>
      <c r="AA98" s="5"/>
      <c r="AB98" s="5"/>
    </row>
    <row r="99" spans="1:28" ht="18">
      <c r="A99" s="32" t="s">
        <v>79</v>
      </c>
      <c r="B99" s="41" t="s">
        <v>121</v>
      </c>
      <c r="C99" s="29" t="s">
        <v>121</v>
      </c>
      <c r="D99" s="41" t="s">
        <v>121</v>
      </c>
      <c r="E99" s="61"/>
      <c r="F99" s="34"/>
      <c r="G99" s="35"/>
      <c r="H99" s="36"/>
      <c r="I99" s="35"/>
      <c r="J99" s="5"/>
      <c r="K99" s="5"/>
      <c r="L99" s="5"/>
      <c r="M99" s="5"/>
      <c r="N99" s="5"/>
      <c r="O99" s="5"/>
      <c r="P99" s="5"/>
      <c r="Q99" s="5"/>
      <c r="R99" s="5"/>
      <c r="S99" s="5"/>
      <c r="T99" s="5"/>
      <c r="U99" s="5"/>
      <c r="V99" s="5"/>
      <c r="W99" s="5"/>
      <c r="X99" s="5"/>
      <c r="Y99" s="5"/>
      <c r="Z99" s="5"/>
      <c r="AA99" s="5"/>
      <c r="AB99" s="5"/>
    </row>
    <row r="100" spans="1:28" ht="18">
      <c r="A100" s="32" t="s">
        <v>80</v>
      </c>
      <c r="B100" s="41" t="s">
        <v>121</v>
      </c>
      <c r="C100" s="29" t="s">
        <v>121</v>
      </c>
      <c r="D100" s="41" t="s">
        <v>121</v>
      </c>
      <c r="E100" s="61"/>
      <c r="F100" s="34"/>
      <c r="G100" s="35"/>
      <c r="H100" s="36"/>
      <c r="I100" s="35"/>
      <c r="J100" s="5"/>
      <c r="K100" s="5"/>
      <c r="L100" s="5"/>
      <c r="M100" s="5"/>
      <c r="N100" s="5"/>
      <c r="O100" s="5"/>
      <c r="P100" s="5"/>
      <c r="Q100" s="5"/>
      <c r="R100" s="5"/>
      <c r="S100" s="5"/>
      <c r="T100" s="5"/>
      <c r="U100" s="5"/>
      <c r="V100" s="5"/>
      <c r="W100" s="5"/>
      <c r="X100" s="5"/>
      <c r="Y100" s="5"/>
      <c r="Z100" s="5"/>
      <c r="AA100" s="5"/>
      <c r="AB100" s="5"/>
    </row>
    <row r="101" spans="1:28" ht="18">
      <c r="A101" s="32" t="s">
        <v>81</v>
      </c>
      <c r="B101" s="41" t="s">
        <v>121</v>
      </c>
      <c r="C101" s="29" t="s">
        <v>121</v>
      </c>
      <c r="D101" s="41" t="s">
        <v>121</v>
      </c>
      <c r="E101" s="61"/>
      <c r="F101" s="34"/>
      <c r="G101" s="35"/>
      <c r="H101" s="36"/>
      <c r="I101" s="35"/>
      <c r="J101" s="5"/>
      <c r="K101" s="5"/>
      <c r="L101" s="5"/>
      <c r="M101" s="5"/>
      <c r="N101" s="5"/>
      <c r="O101" s="5"/>
      <c r="P101" s="5"/>
      <c r="Q101" s="5"/>
      <c r="R101" s="5"/>
      <c r="S101" s="5"/>
      <c r="T101" s="5"/>
      <c r="U101" s="5"/>
      <c r="V101" s="5"/>
      <c r="W101" s="5"/>
      <c r="X101" s="5"/>
      <c r="Y101" s="5"/>
      <c r="Z101" s="5"/>
      <c r="AA101" s="5"/>
      <c r="AB101" s="5"/>
    </row>
    <row r="102" spans="1:28" ht="18">
      <c r="A102" s="32" t="s">
        <v>82</v>
      </c>
      <c r="B102" s="41" t="s">
        <v>121</v>
      </c>
      <c r="C102" s="29" t="s">
        <v>121</v>
      </c>
      <c r="D102" s="41" t="s">
        <v>121</v>
      </c>
      <c r="E102" s="61"/>
      <c r="F102" s="34"/>
      <c r="G102" s="35"/>
      <c r="H102" s="36"/>
      <c r="I102" s="35"/>
      <c r="J102" s="5"/>
      <c r="K102" s="5"/>
      <c r="L102" s="5"/>
      <c r="M102" s="5"/>
      <c r="N102" s="5"/>
      <c r="O102" s="5"/>
      <c r="P102" s="5"/>
      <c r="Q102" s="5"/>
      <c r="R102" s="5"/>
      <c r="S102" s="5"/>
      <c r="T102" s="5"/>
      <c r="U102" s="5"/>
      <c r="V102" s="5"/>
      <c r="W102" s="5"/>
      <c r="X102" s="5"/>
      <c r="Y102" s="5"/>
      <c r="Z102" s="5"/>
      <c r="AA102" s="5"/>
      <c r="AB102" s="5"/>
    </row>
    <row r="103" spans="1:28" ht="18">
      <c r="A103" s="32" t="s">
        <v>83</v>
      </c>
      <c r="B103" s="41" t="s">
        <v>121</v>
      </c>
      <c r="C103" s="29" t="s">
        <v>121</v>
      </c>
      <c r="D103" s="41" t="s">
        <v>121</v>
      </c>
      <c r="E103" s="61"/>
      <c r="F103" s="34"/>
      <c r="G103" s="35"/>
      <c r="H103" s="36"/>
      <c r="I103" s="35"/>
      <c r="J103" s="5"/>
      <c r="K103" s="5"/>
      <c r="L103" s="5"/>
      <c r="M103" s="5"/>
      <c r="N103" s="5"/>
      <c r="O103" s="5"/>
      <c r="P103" s="5"/>
      <c r="Q103" s="5"/>
      <c r="R103" s="5"/>
      <c r="S103" s="5"/>
      <c r="T103" s="5"/>
      <c r="U103" s="5"/>
      <c r="V103" s="5"/>
      <c r="W103" s="5"/>
      <c r="X103" s="5"/>
      <c r="Y103" s="5"/>
      <c r="Z103" s="5"/>
      <c r="AA103" s="5"/>
      <c r="AB103" s="5"/>
    </row>
    <row r="104" spans="1:28" ht="18">
      <c r="A104" s="32" t="s">
        <v>84</v>
      </c>
      <c r="B104" s="41" t="s">
        <v>121</v>
      </c>
      <c r="C104" s="29" t="s">
        <v>121</v>
      </c>
      <c r="D104" s="41" t="s">
        <v>121</v>
      </c>
      <c r="E104" s="61" t="s">
        <v>137</v>
      </c>
      <c r="F104" s="34"/>
      <c r="G104" s="35"/>
      <c r="H104" s="36"/>
      <c r="I104" s="35"/>
      <c r="J104" s="5"/>
      <c r="K104" s="5"/>
      <c r="L104" s="5"/>
      <c r="M104" s="5"/>
      <c r="N104" s="5"/>
      <c r="O104" s="5"/>
      <c r="P104" s="5"/>
      <c r="Q104" s="5"/>
      <c r="R104" s="5"/>
      <c r="S104" s="5"/>
      <c r="T104" s="5"/>
      <c r="U104" s="5"/>
      <c r="V104" s="5"/>
      <c r="W104" s="5"/>
      <c r="X104" s="5"/>
      <c r="Y104" s="5"/>
      <c r="Z104" s="5"/>
      <c r="AA104" s="5"/>
      <c r="AB104" s="5"/>
    </row>
    <row r="105" spans="1:28" ht="18">
      <c r="A105" s="32" t="s">
        <v>85</v>
      </c>
      <c r="B105" s="41" t="s">
        <v>121</v>
      </c>
      <c r="C105" s="29" t="s">
        <v>121</v>
      </c>
      <c r="D105" s="41" t="s">
        <v>121</v>
      </c>
      <c r="E105" s="61"/>
      <c r="F105" s="34"/>
      <c r="G105" s="35"/>
      <c r="H105" s="36"/>
      <c r="I105" s="35"/>
      <c r="J105" s="5"/>
      <c r="K105" s="5"/>
      <c r="L105" s="5"/>
      <c r="M105" s="5"/>
      <c r="N105" s="5"/>
      <c r="O105" s="5"/>
      <c r="P105" s="5"/>
      <c r="Q105" s="5"/>
      <c r="R105" s="5"/>
      <c r="S105" s="5"/>
      <c r="T105" s="5"/>
      <c r="U105" s="5"/>
      <c r="V105" s="5"/>
      <c r="W105" s="5"/>
      <c r="X105" s="5"/>
      <c r="Y105" s="5"/>
      <c r="Z105" s="5"/>
      <c r="AA105" s="5"/>
      <c r="AB105" s="5"/>
    </row>
    <row r="106" spans="1:28" ht="18">
      <c r="A106" s="32" t="s">
        <v>86</v>
      </c>
      <c r="B106" s="41" t="s">
        <v>121</v>
      </c>
      <c r="C106" s="29" t="s">
        <v>121</v>
      </c>
      <c r="D106" s="41" t="s">
        <v>121</v>
      </c>
      <c r="E106" s="61"/>
      <c r="F106" s="34"/>
      <c r="G106" s="35"/>
      <c r="H106" s="36"/>
      <c r="I106" s="35"/>
      <c r="J106" s="5"/>
      <c r="K106" s="5"/>
      <c r="L106" s="5"/>
      <c r="M106" s="5"/>
      <c r="N106" s="5"/>
      <c r="O106" s="5"/>
      <c r="P106" s="5"/>
      <c r="Q106" s="5"/>
      <c r="R106" s="5"/>
      <c r="S106" s="5"/>
      <c r="T106" s="5"/>
      <c r="U106" s="5"/>
      <c r="V106" s="5"/>
      <c r="W106" s="5"/>
      <c r="X106" s="5"/>
      <c r="Y106" s="5"/>
      <c r="Z106" s="5"/>
      <c r="AA106" s="5"/>
      <c r="AB106" s="5"/>
    </row>
    <row r="107" spans="1:28" ht="18">
      <c r="A107" s="32" t="s">
        <v>87</v>
      </c>
      <c r="B107" s="41" t="s">
        <v>121</v>
      </c>
      <c r="C107" s="29" t="s">
        <v>121</v>
      </c>
      <c r="D107" s="41" t="s">
        <v>121</v>
      </c>
      <c r="E107" s="61"/>
      <c r="F107" s="34"/>
      <c r="G107" s="35"/>
      <c r="H107" s="36"/>
      <c r="I107" s="35"/>
      <c r="J107" s="5"/>
      <c r="K107" s="5"/>
      <c r="L107" s="5"/>
      <c r="M107" s="5"/>
      <c r="N107" s="5"/>
      <c r="O107" s="5"/>
      <c r="P107" s="5"/>
      <c r="Q107" s="5"/>
      <c r="R107" s="5"/>
      <c r="S107" s="5"/>
      <c r="T107" s="5"/>
      <c r="U107" s="5"/>
      <c r="V107" s="5"/>
      <c r="W107" s="5"/>
      <c r="X107" s="5"/>
      <c r="Y107" s="5"/>
      <c r="Z107" s="5"/>
      <c r="AA107" s="5"/>
      <c r="AB107" s="5"/>
    </row>
    <row r="108" spans="1:28" ht="18">
      <c r="A108" s="32" t="s">
        <v>88</v>
      </c>
      <c r="B108" s="41" t="s">
        <v>121</v>
      </c>
      <c r="C108" s="29" t="s">
        <v>121</v>
      </c>
      <c r="D108" s="41" t="s">
        <v>121</v>
      </c>
      <c r="E108" s="61"/>
      <c r="F108" s="34"/>
      <c r="G108" s="35"/>
      <c r="H108" s="36"/>
      <c r="I108" s="35"/>
      <c r="J108" s="5"/>
      <c r="K108" s="5"/>
      <c r="L108" s="5"/>
      <c r="M108" s="5"/>
      <c r="N108" s="5"/>
      <c r="O108" s="5"/>
      <c r="P108" s="5"/>
      <c r="Q108" s="5"/>
      <c r="R108" s="5"/>
      <c r="S108" s="5"/>
      <c r="T108" s="5"/>
      <c r="U108" s="5"/>
      <c r="V108" s="5"/>
      <c r="W108" s="5"/>
      <c r="X108" s="5"/>
      <c r="Y108" s="5"/>
      <c r="Z108" s="5"/>
      <c r="AA108" s="5"/>
      <c r="AB108" s="5"/>
    </row>
    <row r="109" spans="1:28" ht="18">
      <c r="A109" s="32" t="s">
        <v>89</v>
      </c>
      <c r="B109" s="41" t="s">
        <v>121</v>
      </c>
      <c r="C109" s="29" t="s">
        <v>121</v>
      </c>
      <c r="D109" s="41" t="s">
        <v>121</v>
      </c>
      <c r="E109" s="61"/>
      <c r="F109" s="34"/>
      <c r="G109" s="35"/>
      <c r="H109" s="36"/>
      <c r="I109" s="35"/>
      <c r="J109" s="5"/>
      <c r="K109" s="5"/>
      <c r="L109" s="5"/>
      <c r="M109" s="5"/>
      <c r="N109" s="5"/>
      <c r="O109" s="5"/>
      <c r="P109" s="5"/>
      <c r="Q109" s="5"/>
      <c r="R109" s="5"/>
      <c r="S109" s="5"/>
      <c r="T109" s="5"/>
      <c r="U109" s="5"/>
      <c r="V109" s="5"/>
      <c r="W109" s="5"/>
      <c r="X109" s="5"/>
      <c r="Y109" s="5"/>
      <c r="Z109" s="5"/>
      <c r="AA109" s="5"/>
      <c r="AB109" s="5"/>
    </row>
    <row r="110" spans="1:28" ht="18">
      <c r="A110" s="32" t="s">
        <v>90</v>
      </c>
      <c r="B110" s="41" t="s">
        <v>121</v>
      </c>
      <c r="C110" s="29" t="s">
        <v>121</v>
      </c>
      <c r="D110" s="41" t="s">
        <v>121</v>
      </c>
      <c r="E110" s="61"/>
      <c r="F110" s="34"/>
      <c r="G110" s="35"/>
      <c r="H110" s="36"/>
      <c r="I110" s="35"/>
      <c r="J110" s="5"/>
      <c r="K110" s="5"/>
      <c r="L110" s="5"/>
      <c r="M110" s="5"/>
      <c r="N110" s="5"/>
      <c r="O110" s="5"/>
      <c r="P110" s="5"/>
      <c r="Q110" s="5"/>
      <c r="R110" s="5"/>
      <c r="S110" s="5"/>
      <c r="T110" s="5"/>
      <c r="U110" s="5"/>
      <c r="V110" s="5"/>
      <c r="W110" s="5"/>
      <c r="X110" s="5"/>
      <c r="Y110" s="5"/>
      <c r="Z110" s="5"/>
      <c r="AA110" s="5"/>
      <c r="AB110" s="5"/>
    </row>
    <row r="111" spans="1:28" ht="18">
      <c r="A111" s="37"/>
      <c r="B111" s="38"/>
      <c r="C111" s="29"/>
      <c r="D111" s="30"/>
      <c r="E111" s="30"/>
      <c r="F111" s="34"/>
      <c r="G111" s="35"/>
      <c r="H111" s="39"/>
      <c r="I111" s="35"/>
      <c r="J111" s="5"/>
      <c r="K111" s="5"/>
      <c r="L111" s="5"/>
      <c r="M111" s="5"/>
      <c r="N111" s="5"/>
      <c r="O111" s="5"/>
      <c r="P111" s="5"/>
      <c r="Q111" s="5"/>
      <c r="R111" s="5"/>
      <c r="S111" s="5"/>
      <c r="T111" s="5"/>
      <c r="U111" s="5"/>
      <c r="V111" s="5"/>
      <c r="W111" s="5"/>
      <c r="X111" s="5"/>
      <c r="Y111" s="5"/>
      <c r="Z111" s="5"/>
      <c r="AA111" s="5"/>
      <c r="AB111" s="5"/>
    </row>
    <row r="112" spans="1:28" ht="18">
      <c r="A112" s="40" t="s">
        <v>91</v>
      </c>
      <c r="B112" s="38"/>
      <c r="C112" s="29"/>
      <c r="D112" s="30"/>
      <c r="E112" s="30"/>
      <c r="F112" s="34"/>
      <c r="G112" s="35"/>
      <c r="H112" s="39"/>
      <c r="I112" s="35"/>
      <c r="J112" s="5"/>
      <c r="K112" s="5"/>
      <c r="L112" s="5"/>
      <c r="M112" s="5"/>
      <c r="N112" s="5"/>
      <c r="O112" s="5"/>
      <c r="P112" s="5"/>
      <c r="Q112" s="5"/>
      <c r="R112" s="5"/>
      <c r="S112" s="5"/>
      <c r="T112" s="5"/>
      <c r="U112" s="5"/>
      <c r="V112" s="5"/>
      <c r="W112" s="5"/>
      <c r="X112" s="5"/>
      <c r="Y112" s="5"/>
      <c r="Z112" s="5"/>
      <c r="AA112" s="5"/>
      <c r="AB112" s="5"/>
    </row>
    <row r="113" spans="1:28" ht="18">
      <c r="A113" s="32" t="s">
        <v>92</v>
      </c>
      <c r="B113" s="33">
        <v>3.4939749999999998</v>
      </c>
      <c r="C113" s="29">
        <v>3.68867375</v>
      </c>
      <c r="D113" s="34">
        <v>3.8931074374999999</v>
      </c>
      <c r="E113" s="34">
        <v>3.89</v>
      </c>
      <c r="F113" s="34">
        <f t="shared" ref="F113:F114" si="35">SUM(D113,G113,H113)</f>
        <v>4.0877628093749996</v>
      </c>
      <c r="G113" s="35">
        <f t="shared" ref="G113:G114" si="36">D113*0.05</f>
        <v>0.19465537187500001</v>
      </c>
      <c r="H113" s="36">
        <v>0</v>
      </c>
      <c r="I113" s="35">
        <f t="shared" ref="I113:I114" si="37">F113-D113</f>
        <v>0.19465537187499971</v>
      </c>
      <c r="J113" s="5"/>
      <c r="K113" s="5"/>
      <c r="L113" s="5"/>
      <c r="M113" s="5"/>
      <c r="N113" s="5"/>
      <c r="O113" s="5"/>
      <c r="P113" s="5"/>
      <c r="Q113" s="5"/>
      <c r="R113" s="5"/>
      <c r="S113" s="5"/>
      <c r="T113" s="5"/>
      <c r="U113" s="5"/>
      <c r="V113" s="5"/>
      <c r="W113" s="5"/>
      <c r="X113" s="5"/>
      <c r="Y113" s="5"/>
      <c r="Z113" s="5"/>
      <c r="AA113" s="5"/>
      <c r="AB113" s="5"/>
    </row>
    <row r="114" spans="1:28" ht="18">
      <c r="A114" s="32" t="s">
        <v>93</v>
      </c>
      <c r="B114" s="33">
        <v>3.894225</v>
      </c>
      <c r="C114" s="29">
        <v>4.0889362500000006</v>
      </c>
      <c r="D114" s="34">
        <v>4.2933830625000002</v>
      </c>
      <c r="E114" s="34">
        <v>4.49</v>
      </c>
      <c r="F114" s="34">
        <f t="shared" si="35"/>
        <v>4.4880522156250002</v>
      </c>
      <c r="G114" s="35">
        <f t="shared" si="36"/>
        <v>0.21466915312500001</v>
      </c>
      <c r="H114" s="36">
        <v>-0.02</v>
      </c>
      <c r="I114" s="35">
        <f t="shared" si="37"/>
        <v>0.19466915312499999</v>
      </c>
      <c r="J114" s="5"/>
      <c r="K114" s="5"/>
      <c r="L114" s="5"/>
      <c r="M114" s="5"/>
      <c r="N114" s="5"/>
      <c r="O114" s="5"/>
      <c r="P114" s="5"/>
      <c r="Q114" s="5"/>
      <c r="R114" s="5"/>
      <c r="S114" s="5"/>
      <c r="T114" s="5"/>
      <c r="U114" s="5"/>
      <c r="V114" s="5"/>
      <c r="W114" s="5"/>
      <c r="X114" s="5"/>
      <c r="Y114" s="5"/>
      <c r="Z114" s="5"/>
      <c r="AA114" s="5"/>
      <c r="AB114" s="5"/>
    </row>
    <row r="115" spans="1:28" ht="18">
      <c r="A115" s="32" t="s">
        <v>94</v>
      </c>
      <c r="B115" s="41" t="s">
        <v>121</v>
      </c>
      <c r="C115" s="29" t="s">
        <v>121</v>
      </c>
      <c r="D115" s="41" t="s">
        <v>121</v>
      </c>
      <c r="E115" s="61" t="s">
        <v>136</v>
      </c>
      <c r="F115" s="34"/>
      <c r="G115" s="35"/>
      <c r="H115" s="36"/>
      <c r="I115" s="35"/>
      <c r="J115" s="5"/>
      <c r="K115" s="5"/>
      <c r="L115" s="5"/>
      <c r="M115" s="5"/>
      <c r="N115" s="5"/>
      <c r="O115" s="5"/>
      <c r="P115" s="5"/>
      <c r="Q115" s="5"/>
      <c r="R115" s="5"/>
      <c r="S115" s="5"/>
      <c r="T115" s="5"/>
      <c r="U115" s="5"/>
      <c r="V115" s="5"/>
      <c r="W115" s="5"/>
      <c r="X115" s="5"/>
      <c r="Y115" s="5"/>
      <c r="Z115" s="5"/>
      <c r="AA115" s="5"/>
      <c r="AB115" s="5"/>
    </row>
    <row r="116" spans="1:28" ht="18">
      <c r="A116" s="32" t="s">
        <v>95</v>
      </c>
      <c r="B116" s="33">
        <v>3.894225</v>
      </c>
      <c r="C116" s="29">
        <v>4.0889362500000006</v>
      </c>
      <c r="D116" s="34">
        <v>4.2933830625000002</v>
      </c>
      <c r="E116" s="34">
        <v>4.49</v>
      </c>
      <c r="F116" s="34">
        <f>SUM(D116,G116,H116)</f>
        <v>4.4880522156250002</v>
      </c>
      <c r="G116" s="35">
        <f>D116*0.05</f>
        <v>0.21466915312500001</v>
      </c>
      <c r="H116" s="36">
        <v>-0.02</v>
      </c>
      <c r="I116" s="35">
        <f>F116-D116</f>
        <v>0.19466915312499999</v>
      </c>
      <c r="J116" s="5"/>
      <c r="K116" s="5"/>
      <c r="L116" s="5"/>
      <c r="M116" s="5"/>
      <c r="N116" s="5"/>
      <c r="O116" s="5"/>
      <c r="P116" s="5"/>
      <c r="Q116" s="5"/>
      <c r="R116" s="5"/>
      <c r="S116" s="5"/>
      <c r="T116" s="5"/>
      <c r="U116" s="5"/>
      <c r="V116" s="5"/>
      <c r="W116" s="5"/>
      <c r="X116" s="5"/>
      <c r="Y116" s="5"/>
      <c r="Z116" s="5"/>
      <c r="AA116" s="5"/>
      <c r="AB116" s="5"/>
    </row>
    <row r="117" spans="1:28" ht="18">
      <c r="A117" s="32" t="s">
        <v>96</v>
      </c>
      <c r="B117" s="41" t="s">
        <v>121</v>
      </c>
      <c r="C117" s="29" t="s">
        <v>121</v>
      </c>
      <c r="D117" s="41" t="s">
        <v>121</v>
      </c>
      <c r="E117" s="61" t="s">
        <v>135</v>
      </c>
      <c r="F117" s="34"/>
      <c r="G117" s="35"/>
      <c r="H117" s="36">
        <v>0</v>
      </c>
      <c r="I117" s="35"/>
      <c r="J117" s="5"/>
      <c r="K117" s="5"/>
      <c r="L117" s="5"/>
      <c r="M117" s="5"/>
      <c r="N117" s="5"/>
      <c r="O117" s="5"/>
      <c r="P117" s="5"/>
      <c r="Q117" s="5"/>
      <c r="R117" s="5"/>
      <c r="S117" s="5"/>
      <c r="T117" s="5"/>
      <c r="U117" s="5"/>
      <c r="V117" s="5"/>
      <c r="W117" s="5"/>
      <c r="X117" s="5"/>
      <c r="Y117" s="5"/>
      <c r="Z117" s="5"/>
      <c r="AA117" s="5"/>
      <c r="AB117" s="5"/>
    </row>
    <row r="118" spans="1:28" ht="18">
      <c r="A118" s="32" t="s">
        <v>97</v>
      </c>
      <c r="B118" s="41" t="s">
        <v>121</v>
      </c>
      <c r="C118" s="29" t="s">
        <v>121</v>
      </c>
      <c r="D118" s="41" t="s">
        <v>121</v>
      </c>
      <c r="E118" s="61" t="s">
        <v>134</v>
      </c>
      <c r="F118" s="34"/>
      <c r="G118" s="35"/>
      <c r="H118" s="36">
        <v>0</v>
      </c>
      <c r="I118" s="35"/>
      <c r="J118" s="5"/>
      <c r="K118" s="5"/>
      <c r="L118" s="5"/>
      <c r="M118" s="5"/>
      <c r="N118" s="5"/>
      <c r="O118" s="5"/>
      <c r="P118" s="5"/>
      <c r="Q118" s="5"/>
      <c r="R118" s="5"/>
      <c r="S118" s="5"/>
      <c r="T118" s="5"/>
      <c r="U118" s="5"/>
      <c r="V118" s="5"/>
      <c r="W118" s="5"/>
      <c r="X118" s="5"/>
      <c r="Y118" s="5"/>
      <c r="Z118" s="5"/>
      <c r="AA118" s="5"/>
      <c r="AB118" s="5"/>
    </row>
    <row r="119" spans="1:28" ht="18">
      <c r="A119" s="42"/>
      <c r="B119" s="38"/>
      <c r="C119" s="29"/>
      <c r="D119" s="30"/>
      <c r="E119" s="30"/>
      <c r="F119" s="34"/>
      <c r="G119" s="35"/>
      <c r="H119" s="39"/>
      <c r="I119" s="35"/>
      <c r="J119" s="5"/>
      <c r="K119" s="5"/>
      <c r="L119" s="5"/>
      <c r="M119" s="5"/>
      <c r="N119" s="5"/>
      <c r="O119" s="5"/>
      <c r="P119" s="5"/>
      <c r="Q119" s="5"/>
      <c r="R119" s="5"/>
      <c r="S119" s="5"/>
      <c r="T119" s="5"/>
      <c r="U119" s="5"/>
      <c r="V119" s="5"/>
      <c r="W119" s="5"/>
      <c r="X119" s="5"/>
      <c r="Y119" s="5"/>
      <c r="Z119" s="5"/>
      <c r="AA119" s="5"/>
      <c r="AB119" s="5"/>
    </row>
    <row r="120" spans="1:28" ht="18">
      <c r="A120" s="40" t="s">
        <v>124</v>
      </c>
      <c r="B120" s="38"/>
      <c r="C120" s="29"/>
      <c r="D120" s="30"/>
      <c r="E120" s="30"/>
      <c r="F120" s="34"/>
      <c r="G120" s="35"/>
      <c r="H120" s="39"/>
      <c r="I120" s="35"/>
      <c r="J120" s="5"/>
      <c r="K120" s="5"/>
      <c r="L120" s="5"/>
      <c r="M120" s="5"/>
      <c r="N120" s="5"/>
      <c r="O120" s="5"/>
      <c r="P120" s="5"/>
      <c r="Q120" s="5"/>
      <c r="R120" s="5"/>
      <c r="S120" s="5"/>
      <c r="T120" s="5"/>
      <c r="U120" s="5"/>
      <c r="V120" s="5"/>
      <c r="W120" s="5"/>
      <c r="X120" s="5"/>
      <c r="Y120" s="5"/>
      <c r="Z120" s="5"/>
      <c r="AA120" s="5"/>
      <c r="AB120" s="5"/>
    </row>
    <row r="121" spans="1:28" ht="18">
      <c r="A121" s="32" t="s">
        <v>99</v>
      </c>
      <c r="B121" s="33">
        <v>0.89472499999999999</v>
      </c>
      <c r="C121" s="29">
        <v>0.98946125000000007</v>
      </c>
      <c r="D121" s="34">
        <v>1.0900000000000001</v>
      </c>
      <c r="E121" s="34">
        <v>1.0900000000000001</v>
      </c>
      <c r="F121" s="34">
        <f t="shared" ref="F121:F123" si="38">SUM(D121,G121,H121)</f>
        <v>1.1445000000000001</v>
      </c>
      <c r="G121" s="35">
        <f t="shared" ref="G121:G123" si="39">D121*0.05</f>
        <v>5.4500000000000007E-2</v>
      </c>
      <c r="H121" s="36"/>
      <c r="I121" s="35">
        <f t="shared" ref="I121:I123" si="40">F121-D121</f>
        <v>5.4499999999999993E-2</v>
      </c>
      <c r="J121" s="5"/>
      <c r="K121" s="5"/>
      <c r="L121" s="5"/>
      <c r="M121" s="5"/>
      <c r="N121" s="5"/>
      <c r="O121" s="5"/>
      <c r="P121" s="5"/>
      <c r="Q121" s="5"/>
      <c r="R121" s="5"/>
      <c r="S121" s="5"/>
      <c r="T121" s="5"/>
      <c r="U121" s="5"/>
      <c r="V121" s="5"/>
      <c r="W121" s="5"/>
      <c r="X121" s="5"/>
      <c r="Y121" s="5"/>
      <c r="Z121" s="5"/>
      <c r="AA121" s="5"/>
      <c r="AB121" s="5"/>
    </row>
    <row r="122" spans="1:28" ht="18">
      <c r="A122" s="32" t="s">
        <v>100</v>
      </c>
      <c r="B122" s="33">
        <v>0.89472499999999999</v>
      </c>
      <c r="C122" s="29">
        <v>0.98946125000000007</v>
      </c>
      <c r="D122" s="34">
        <v>0.98893431250000008</v>
      </c>
      <c r="E122" s="34">
        <v>0.79</v>
      </c>
      <c r="F122" s="34">
        <f t="shared" si="38"/>
        <v>0.98838102812500006</v>
      </c>
      <c r="G122" s="35">
        <f t="shared" si="39"/>
        <v>4.9446715625000005E-2</v>
      </c>
      <c r="H122" s="36">
        <v>-0.05</v>
      </c>
      <c r="I122" s="35">
        <f t="shared" si="40"/>
        <v>-5.5328437500001826E-4</v>
      </c>
      <c r="J122" s="5"/>
      <c r="K122" s="5"/>
      <c r="L122" s="5"/>
      <c r="M122" s="5"/>
      <c r="N122" s="5"/>
      <c r="O122" s="5"/>
      <c r="P122" s="5"/>
      <c r="Q122" s="5"/>
      <c r="R122" s="5"/>
      <c r="S122" s="5"/>
      <c r="T122" s="5"/>
      <c r="U122" s="5"/>
      <c r="V122" s="5"/>
      <c r="W122" s="5"/>
      <c r="X122" s="5"/>
      <c r="Y122" s="5"/>
      <c r="Z122" s="5"/>
      <c r="AA122" s="5"/>
      <c r="AB122" s="5"/>
    </row>
    <row r="123" spans="1:28" ht="18">
      <c r="A123" s="32" t="s">
        <v>101</v>
      </c>
      <c r="B123" s="33">
        <v>1.785725</v>
      </c>
      <c r="C123" s="29">
        <v>1.88501125</v>
      </c>
      <c r="D123" s="34">
        <v>1.9892618125000001</v>
      </c>
      <c r="E123" s="34">
        <v>0.79</v>
      </c>
      <c r="F123" s="34">
        <f t="shared" si="38"/>
        <v>2.0987249031249999</v>
      </c>
      <c r="G123" s="35">
        <f t="shared" si="39"/>
        <v>9.9463090625000014E-2</v>
      </c>
      <c r="H123" s="36">
        <v>0.01</v>
      </c>
      <c r="I123" s="35">
        <f t="shared" si="40"/>
        <v>0.10946309062499981</v>
      </c>
      <c r="J123" s="5"/>
      <c r="K123" s="5"/>
      <c r="L123" s="5"/>
      <c r="M123" s="5"/>
      <c r="N123" s="5"/>
      <c r="O123" s="5"/>
      <c r="P123" s="5"/>
      <c r="Q123" s="5"/>
      <c r="R123" s="5"/>
      <c r="S123" s="5"/>
      <c r="T123" s="5"/>
      <c r="U123" s="5"/>
      <c r="V123" s="5"/>
      <c r="W123" s="5"/>
      <c r="X123" s="5"/>
      <c r="Y123" s="5"/>
      <c r="Z123" s="5"/>
      <c r="AA123" s="5"/>
      <c r="AB123" s="5"/>
    </row>
    <row r="124" spans="1:28" ht="18">
      <c r="A124" s="32" t="s">
        <v>102</v>
      </c>
      <c r="B124" s="41" t="s">
        <v>121</v>
      </c>
      <c r="C124" s="29" t="s">
        <v>121</v>
      </c>
      <c r="D124" s="41" t="s">
        <v>121</v>
      </c>
      <c r="E124" s="61"/>
      <c r="F124" s="34"/>
      <c r="G124" s="35"/>
      <c r="H124" s="36">
        <v>0</v>
      </c>
      <c r="I124" s="35"/>
      <c r="J124" s="5"/>
      <c r="K124" s="5"/>
      <c r="L124" s="5"/>
      <c r="M124" s="5"/>
      <c r="N124" s="5"/>
      <c r="O124" s="5"/>
      <c r="P124" s="5"/>
      <c r="Q124" s="5"/>
      <c r="R124" s="5"/>
      <c r="S124" s="5"/>
      <c r="T124" s="5"/>
      <c r="U124" s="5"/>
      <c r="V124" s="5"/>
      <c r="W124" s="5"/>
      <c r="X124" s="5"/>
      <c r="Y124" s="5"/>
      <c r="Z124" s="5"/>
      <c r="AA124" s="5"/>
      <c r="AB124" s="5"/>
    </row>
    <row r="125" spans="1:28" ht="18">
      <c r="A125" s="32" t="s">
        <v>103</v>
      </c>
      <c r="B125" s="33">
        <v>1.193975</v>
      </c>
      <c r="C125" s="29">
        <v>1.2936737500000002</v>
      </c>
      <c r="D125" s="34">
        <v>1.3883574375000003</v>
      </c>
      <c r="E125" s="34">
        <v>2.29</v>
      </c>
      <c r="F125" s="34">
        <f>SUM(D125,G125,H125)</f>
        <v>1.4877753093750004</v>
      </c>
      <c r="G125" s="35">
        <f>D125*0.05</f>
        <v>6.9417871875000023E-2</v>
      </c>
      <c r="H125" s="36">
        <v>0.03</v>
      </c>
      <c r="I125" s="35">
        <f>F125-D125</f>
        <v>9.9417871875000063E-2</v>
      </c>
      <c r="J125" s="5"/>
      <c r="K125" s="5"/>
      <c r="L125" s="5"/>
      <c r="M125" s="5"/>
      <c r="N125" s="5"/>
      <c r="O125" s="5"/>
      <c r="P125" s="5"/>
      <c r="Q125" s="5"/>
      <c r="R125" s="5"/>
      <c r="S125" s="5"/>
      <c r="T125" s="5"/>
      <c r="U125" s="5"/>
      <c r="V125" s="5"/>
      <c r="W125" s="5"/>
      <c r="X125" s="5"/>
      <c r="Y125" s="5"/>
      <c r="Z125" s="5"/>
      <c r="AA125" s="5"/>
      <c r="AB125" s="5"/>
    </row>
    <row r="126" spans="1:28" ht="18">
      <c r="A126" s="32" t="s">
        <v>104</v>
      </c>
      <c r="B126" s="41" t="s">
        <v>121</v>
      </c>
      <c r="C126" s="29" t="s">
        <v>121</v>
      </c>
      <c r="D126" s="41" t="s">
        <v>121</v>
      </c>
      <c r="E126" s="61"/>
      <c r="F126" s="34"/>
      <c r="G126" s="35"/>
      <c r="H126" s="36">
        <v>0</v>
      </c>
      <c r="I126" s="35"/>
      <c r="J126" s="5"/>
      <c r="K126" s="5"/>
      <c r="L126" s="5"/>
      <c r="M126" s="5"/>
      <c r="N126" s="5"/>
      <c r="O126" s="5"/>
      <c r="P126" s="5"/>
      <c r="Q126" s="5"/>
      <c r="R126" s="5"/>
      <c r="S126" s="5"/>
      <c r="T126" s="5"/>
      <c r="U126" s="5"/>
      <c r="V126" s="5"/>
      <c r="W126" s="5"/>
      <c r="X126" s="5"/>
      <c r="Y126" s="5"/>
      <c r="Z126" s="5"/>
      <c r="AA126" s="5"/>
      <c r="AB126" s="5"/>
    </row>
    <row r="127" spans="1:28" s="60" customFormat="1" ht="18">
      <c r="A127" s="68" t="s">
        <v>105</v>
      </c>
      <c r="B127" s="69">
        <v>1.0892250000000001</v>
      </c>
      <c r="C127" s="70">
        <v>1.2936862500000001</v>
      </c>
      <c r="D127" s="71">
        <v>1.3883705625000002</v>
      </c>
      <c r="E127" s="71"/>
      <c r="F127" s="71">
        <f>SUM(D127,G127,H127)</f>
        <v>1.4877890906250002</v>
      </c>
      <c r="G127" s="72">
        <f>D127*0.05</f>
        <v>6.9418528125000017E-2</v>
      </c>
      <c r="H127" s="73">
        <v>0.03</v>
      </c>
      <c r="I127" s="72">
        <f>F127-D127</f>
        <v>9.9418528124999961E-2</v>
      </c>
      <c r="J127" s="59"/>
      <c r="K127" s="59"/>
      <c r="L127" s="59"/>
      <c r="M127" s="59"/>
      <c r="N127" s="59"/>
      <c r="O127" s="59"/>
      <c r="P127" s="59"/>
      <c r="Q127" s="59"/>
      <c r="R127" s="59"/>
      <c r="S127" s="59"/>
      <c r="T127" s="59"/>
      <c r="U127" s="59"/>
      <c r="V127" s="59"/>
      <c r="W127" s="59"/>
      <c r="X127" s="59"/>
      <c r="Y127" s="59"/>
      <c r="Z127" s="59"/>
      <c r="AA127" s="59"/>
      <c r="AB127" s="59"/>
    </row>
    <row r="128" spans="1:28" ht="18">
      <c r="A128" s="32" t="s">
        <v>106</v>
      </c>
      <c r="B128" s="41" t="s">
        <v>121</v>
      </c>
      <c r="C128" s="29" t="s">
        <v>121</v>
      </c>
      <c r="D128" s="41" t="s">
        <v>121</v>
      </c>
      <c r="E128" s="61"/>
      <c r="F128" s="34"/>
      <c r="G128" s="35"/>
      <c r="H128" s="36">
        <v>0</v>
      </c>
      <c r="I128" s="35"/>
      <c r="J128" s="5"/>
      <c r="K128" s="5"/>
      <c r="L128" s="5"/>
      <c r="M128" s="5"/>
      <c r="N128" s="5"/>
      <c r="O128" s="5"/>
      <c r="P128" s="5"/>
      <c r="Q128" s="5"/>
      <c r="R128" s="5"/>
      <c r="S128" s="5"/>
      <c r="T128" s="5"/>
      <c r="U128" s="5"/>
      <c r="V128" s="5"/>
      <c r="W128" s="5"/>
      <c r="X128" s="5"/>
      <c r="Y128" s="5"/>
      <c r="Z128" s="5"/>
      <c r="AA128" s="5"/>
      <c r="AB128" s="5"/>
    </row>
    <row r="129" spans="1:28" ht="18">
      <c r="A129" s="32" t="s">
        <v>107</v>
      </c>
      <c r="B129" s="41" t="s">
        <v>121</v>
      </c>
      <c r="C129" s="29" t="s">
        <v>121</v>
      </c>
      <c r="D129" s="41" t="s">
        <v>121</v>
      </c>
      <c r="E129" s="61"/>
      <c r="F129" s="34"/>
      <c r="G129" s="35"/>
      <c r="H129" s="36">
        <v>0</v>
      </c>
      <c r="I129" s="35"/>
      <c r="J129" s="5"/>
      <c r="K129" s="5"/>
      <c r="L129" s="5"/>
      <c r="M129" s="5"/>
      <c r="N129" s="5"/>
      <c r="O129" s="5"/>
      <c r="P129" s="5"/>
      <c r="Q129" s="5"/>
      <c r="R129" s="5"/>
      <c r="S129" s="5"/>
      <c r="T129" s="5"/>
      <c r="U129" s="5"/>
      <c r="V129" s="5"/>
      <c r="W129" s="5"/>
      <c r="X129" s="5"/>
      <c r="Y129" s="5"/>
      <c r="Z129" s="5"/>
      <c r="AA129" s="5"/>
      <c r="AB129" s="5"/>
    </row>
    <row r="130" spans="1:28" ht="18">
      <c r="A130" s="42"/>
      <c r="B130" s="38"/>
      <c r="C130" s="29"/>
      <c r="D130" s="30"/>
      <c r="E130" s="30"/>
      <c r="F130" s="34"/>
      <c r="G130" s="35"/>
      <c r="H130" s="39"/>
      <c r="I130" s="35"/>
      <c r="J130" s="5"/>
      <c r="K130" s="5"/>
      <c r="L130" s="5"/>
      <c r="M130" s="5"/>
      <c r="N130" s="5"/>
      <c r="O130" s="5"/>
      <c r="P130" s="5"/>
      <c r="Q130" s="5"/>
      <c r="R130" s="5"/>
      <c r="S130" s="5"/>
      <c r="T130" s="5"/>
      <c r="U130" s="5"/>
      <c r="V130" s="5"/>
      <c r="W130" s="5"/>
      <c r="X130" s="5"/>
      <c r="Y130" s="5"/>
      <c r="Z130" s="5"/>
      <c r="AA130" s="5"/>
      <c r="AB130" s="5"/>
    </row>
    <row r="131" spans="1:28" ht="18">
      <c r="A131" s="40" t="s">
        <v>125</v>
      </c>
      <c r="B131" s="38"/>
      <c r="C131" s="29"/>
      <c r="D131" s="30"/>
      <c r="E131" s="30"/>
      <c r="F131" s="34"/>
      <c r="G131" s="35"/>
      <c r="H131" s="39"/>
      <c r="I131" s="35"/>
      <c r="J131" s="5"/>
      <c r="K131" s="5"/>
      <c r="L131" s="5"/>
      <c r="M131" s="5"/>
      <c r="N131" s="5"/>
      <c r="O131" s="5"/>
      <c r="P131" s="5"/>
      <c r="Q131" s="5"/>
      <c r="R131" s="5"/>
      <c r="S131" s="5"/>
      <c r="T131" s="5"/>
      <c r="U131" s="5"/>
      <c r="V131" s="5"/>
      <c r="W131" s="5"/>
      <c r="X131" s="5"/>
      <c r="Y131" s="5"/>
      <c r="Z131" s="5"/>
      <c r="AA131" s="5"/>
      <c r="AB131" s="5"/>
    </row>
    <row r="132" spans="1:28" ht="18">
      <c r="A132" s="32" t="s">
        <v>109</v>
      </c>
      <c r="B132" s="33">
        <v>2.3889749999999998</v>
      </c>
      <c r="C132" s="29">
        <v>2.58842375</v>
      </c>
      <c r="D132" s="34">
        <v>2.6878449375000004</v>
      </c>
      <c r="E132" s="34">
        <v>2.19</v>
      </c>
      <c r="F132" s="34">
        <f t="shared" ref="F132:F134" si="41">SUM(D132,G132,H132)</f>
        <v>2.7922371843750007</v>
      </c>
      <c r="G132" s="35">
        <f t="shared" ref="G132:G134" si="42">D132*0.05</f>
        <v>0.13439224687500004</v>
      </c>
      <c r="H132" s="36">
        <v>-0.03</v>
      </c>
      <c r="I132" s="35">
        <f t="shared" ref="I132:I134" si="43">F132-D132</f>
        <v>0.10439224687500026</v>
      </c>
      <c r="J132" s="5"/>
      <c r="K132" s="5"/>
      <c r="L132" s="5"/>
      <c r="M132" s="5"/>
      <c r="N132" s="5"/>
      <c r="O132" s="5"/>
      <c r="P132" s="5"/>
      <c r="Q132" s="5"/>
      <c r="R132" s="5"/>
      <c r="S132" s="5"/>
      <c r="T132" s="5"/>
      <c r="U132" s="5"/>
      <c r="V132" s="5"/>
      <c r="W132" s="5"/>
      <c r="X132" s="5"/>
      <c r="Y132" s="5"/>
      <c r="Z132" s="5"/>
      <c r="AA132" s="5"/>
      <c r="AB132" s="5"/>
    </row>
    <row r="133" spans="1:28" ht="18">
      <c r="A133" s="32" t="s">
        <v>110</v>
      </c>
      <c r="B133" s="33">
        <v>1.9939750000000001</v>
      </c>
      <c r="C133" s="29">
        <v>2.0936737500000002</v>
      </c>
      <c r="D133" s="34">
        <v>2.1883574375000006</v>
      </c>
      <c r="E133" s="34">
        <v>2.19</v>
      </c>
      <c r="F133" s="34">
        <f t="shared" si="41"/>
        <v>2.2877753093750006</v>
      </c>
      <c r="G133" s="35">
        <f t="shared" si="42"/>
        <v>0.10941787187500003</v>
      </c>
      <c r="H133" s="36">
        <v>-0.01</v>
      </c>
      <c r="I133" s="35">
        <f t="shared" si="43"/>
        <v>9.9417871875000063E-2</v>
      </c>
      <c r="J133" s="5"/>
      <c r="K133" s="5"/>
      <c r="L133" s="5"/>
      <c r="M133" s="5"/>
      <c r="N133" s="5"/>
      <c r="O133" s="5"/>
      <c r="P133" s="5"/>
      <c r="Q133" s="5"/>
      <c r="R133" s="5"/>
      <c r="S133" s="5"/>
      <c r="T133" s="5"/>
      <c r="U133" s="5"/>
      <c r="V133" s="5"/>
      <c r="W133" s="5"/>
      <c r="X133" s="5"/>
      <c r="Y133" s="5"/>
      <c r="Z133" s="5"/>
      <c r="AA133" s="5"/>
      <c r="AB133" s="5"/>
    </row>
    <row r="134" spans="1:28" ht="18">
      <c r="A134" s="32" t="s">
        <v>111</v>
      </c>
      <c r="B134" s="33">
        <v>1.9939750000000001</v>
      </c>
      <c r="C134" s="29">
        <v>2.0936737500000002</v>
      </c>
      <c r="D134" s="34">
        <v>2.1883574375000006</v>
      </c>
      <c r="E134" s="34">
        <v>2.19</v>
      </c>
      <c r="F134" s="34">
        <f t="shared" si="41"/>
        <v>2.2877753093750006</v>
      </c>
      <c r="G134" s="35">
        <f t="shared" si="42"/>
        <v>0.10941787187500003</v>
      </c>
      <c r="H134" s="36">
        <v>-0.01</v>
      </c>
      <c r="I134" s="35">
        <f t="shared" si="43"/>
        <v>9.9417871875000063E-2</v>
      </c>
      <c r="J134" s="5"/>
      <c r="K134" s="5"/>
      <c r="L134" s="5"/>
      <c r="M134" s="5"/>
      <c r="N134" s="5"/>
      <c r="O134" s="5"/>
      <c r="P134" s="5"/>
      <c r="Q134" s="5"/>
      <c r="R134" s="5"/>
      <c r="S134" s="5"/>
      <c r="T134" s="5"/>
      <c r="U134" s="5"/>
      <c r="V134" s="5"/>
      <c r="W134" s="5"/>
      <c r="X134" s="5"/>
      <c r="Y134" s="5"/>
      <c r="Z134" s="5"/>
      <c r="AA134" s="5"/>
      <c r="AB134" s="5"/>
    </row>
    <row r="135" spans="1:28" s="96" customFormat="1" ht="18">
      <c r="A135" s="88" t="s">
        <v>112</v>
      </c>
      <c r="B135" s="89" t="s">
        <v>121</v>
      </c>
      <c r="C135" s="90" t="s">
        <v>121</v>
      </c>
      <c r="D135" s="89" t="s">
        <v>121</v>
      </c>
      <c r="E135" s="91"/>
      <c r="F135" s="92"/>
      <c r="G135" s="93"/>
      <c r="H135" s="94">
        <v>0</v>
      </c>
      <c r="I135" s="93"/>
      <c r="J135" s="95"/>
      <c r="K135" s="95"/>
      <c r="L135" s="95"/>
      <c r="M135" s="95"/>
      <c r="N135" s="95"/>
      <c r="O135" s="95"/>
      <c r="P135" s="95"/>
      <c r="Q135" s="95"/>
      <c r="R135" s="95"/>
      <c r="S135" s="95"/>
      <c r="T135" s="95"/>
      <c r="U135" s="95"/>
      <c r="V135" s="95"/>
      <c r="W135" s="95"/>
      <c r="X135" s="95"/>
      <c r="Y135" s="95"/>
      <c r="Z135" s="95"/>
      <c r="AA135" s="95"/>
      <c r="AB135" s="95"/>
    </row>
    <row r="136" spans="1:28" ht="18">
      <c r="A136" s="32" t="s">
        <v>113</v>
      </c>
      <c r="B136" s="33">
        <v>3.9939749999999998</v>
      </c>
      <c r="C136" s="29">
        <v>4.1936737500000003</v>
      </c>
      <c r="D136" s="34">
        <v>4.3933574375000006</v>
      </c>
      <c r="E136" s="34">
        <v>6.19</v>
      </c>
      <c r="F136" s="34">
        <f>SUM(D136,G136,H136)</f>
        <v>4.5930253093750011</v>
      </c>
      <c r="G136" s="35">
        <f>D136*0.05</f>
        <v>0.21966787187500003</v>
      </c>
      <c r="H136" s="36">
        <v>-0.02</v>
      </c>
      <c r="I136" s="35">
        <f>F136-D136</f>
        <v>0.19966787187500046</v>
      </c>
      <c r="J136" s="5"/>
      <c r="K136" s="5"/>
      <c r="L136" s="5"/>
      <c r="M136" s="5"/>
      <c r="N136" s="5"/>
      <c r="O136" s="5"/>
      <c r="P136" s="5"/>
      <c r="Q136" s="5"/>
      <c r="R136" s="5"/>
      <c r="S136" s="5"/>
      <c r="T136" s="5"/>
      <c r="U136" s="5"/>
      <c r="V136" s="5"/>
      <c r="W136" s="5"/>
      <c r="X136" s="5"/>
      <c r="Y136" s="5"/>
      <c r="Z136" s="5"/>
      <c r="AA136" s="5"/>
      <c r="AB136" s="5"/>
    </row>
    <row r="137" spans="1:28" s="67" customFormat="1" ht="18">
      <c r="A137" s="81" t="s">
        <v>114</v>
      </c>
      <c r="B137" s="82" t="s">
        <v>121</v>
      </c>
      <c r="C137" s="83" t="s">
        <v>121</v>
      </c>
      <c r="D137" s="82" t="s">
        <v>121</v>
      </c>
      <c r="E137" s="84" t="s">
        <v>138</v>
      </c>
      <c r="F137" s="85"/>
      <c r="G137" s="86"/>
      <c r="H137" s="87">
        <v>0</v>
      </c>
      <c r="I137" s="86"/>
      <c r="J137" s="66"/>
      <c r="K137" s="66"/>
      <c r="L137" s="66"/>
      <c r="M137" s="66"/>
      <c r="N137" s="66"/>
      <c r="O137" s="66"/>
      <c r="P137" s="66"/>
      <c r="Q137" s="66"/>
      <c r="R137" s="66"/>
      <c r="S137" s="66"/>
      <c r="T137" s="66"/>
      <c r="U137" s="66"/>
      <c r="V137" s="66"/>
      <c r="W137" s="66"/>
      <c r="X137" s="66"/>
      <c r="Y137" s="66"/>
      <c r="Z137" s="66"/>
      <c r="AA137" s="66"/>
      <c r="AB137" s="66"/>
    </row>
    <row r="138" spans="1:28" ht="18">
      <c r="A138" s="32" t="s">
        <v>115</v>
      </c>
      <c r="B138" s="41" t="s">
        <v>121</v>
      </c>
      <c r="C138" s="29" t="s">
        <v>121</v>
      </c>
      <c r="D138" s="41" t="s">
        <v>121</v>
      </c>
      <c r="E138" s="61"/>
      <c r="F138" s="34"/>
      <c r="G138" s="35"/>
      <c r="H138" s="36">
        <v>0</v>
      </c>
      <c r="I138" s="35"/>
      <c r="J138" s="5"/>
      <c r="K138" s="5"/>
      <c r="L138" s="5"/>
      <c r="M138" s="5"/>
      <c r="N138" s="5"/>
      <c r="O138" s="5"/>
      <c r="P138" s="5"/>
      <c r="Q138" s="5"/>
      <c r="R138" s="5"/>
      <c r="S138" s="5"/>
      <c r="T138" s="5"/>
      <c r="U138" s="5"/>
      <c r="V138" s="5"/>
      <c r="W138" s="5"/>
      <c r="X138" s="5"/>
      <c r="Y138" s="5"/>
      <c r="Z138" s="5"/>
      <c r="AA138" s="5"/>
      <c r="AB138" s="5"/>
    </row>
    <row r="139" spans="1:28" ht="18">
      <c r="A139" s="32" t="s">
        <v>116</v>
      </c>
      <c r="B139" s="41" t="s">
        <v>121</v>
      </c>
      <c r="C139" s="29" t="s">
        <v>121</v>
      </c>
      <c r="D139" s="41" t="s">
        <v>121</v>
      </c>
      <c r="E139" s="61"/>
      <c r="F139" s="34"/>
      <c r="G139" s="35"/>
      <c r="H139" s="36">
        <v>0</v>
      </c>
      <c r="I139" s="35"/>
      <c r="J139" s="5"/>
      <c r="K139" s="5"/>
      <c r="L139" s="5"/>
      <c r="M139" s="5"/>
      <c r="N139" s="5"/>
      <c r="O139" s="5"/>
      <c r="P139" s="5"/>
      <c r="Q139" s="5"/>
      <c r="R139" s="5"/>
      <c r="S139" s="5"/>
      <c r="T139" s="5"/>
      <c r="U139" s="5"/>
      <c r="V139" s="5"/>
      <c r="W139" s="5"/>
      <c r="X139" s="5"/>
      <c r="Y139" s="5"/>
      <c r="Z139" s="5"/>
      <c r="AA139" s="5"/>
      <c r="AB139" s="5"/>
    </row>
    <row r="140" spans="1:28" ht="18">
      <c r="A140" s="32" t="s">
        <v>117</v>
      </c>
      <c r="B140" s="41" t="s">
        <v>121</v>
      </c>
      <c r="C140" s="29" t="s">
        <v>121</v>
      </c>
      <c r="D140" s="41" t="s">
        <v>121</v>
      </c>
      <c r="E140" s="61"/>
      <c r="F140" s="34"/>
      <c r="G140" s="35"/>
      <c r="H140" s="36">
        <v>0</v>
      </c>
      <c r="I140" s="35"/>
      <c r="J140" s="5"/>
      <c r="K140" s="5"/>
      <c r="L140" s="5"/>
      <c r="M140" s="5"/>
      <c r="N140" s="5"/>
      <c r="O140" s="5"/>
      <c r="P140" s="5"/>
      <c r="Q140" s="5"/>
      <c r="R140" s="5"/>
      <c r="S140" s="5"/>
      <c r="T140" s="5"/>
      <c r="U140" s="5"/>
      <c r="V140" s="5"/>
      <c r="W140" s="5"/>
      <c r="X140" s="5"/>
      <c r="Y140" s="5"/>
      <c r="Z140" s="5"/>
      <c r="AA140" s="5"/>
      <c r="AB140" s="5"/>
    </row>
    <row r="141" spans="1:28">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c r="AA141" s="5"/>
      <c r="AB141" s="5"/>
    </row>
    <row r="142" spans="1:28">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c r="AA142" s="5"/>
      <c r="AB142" s="5"/>
    </row>
    <row r="143" spans="1:28">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c r="AA143" s="5"/>
      <c r="AB143" s="5"/>
    </row>
    <row r="144" spans="1:28">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c r="AA144" s="5"/>
      <c r="AB144" s="5"/>
    </row>
    <row r="145" spans="1:28">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c r="AA145" s="5"/>
      <c r="AB145" s="5"/>
    </row>
    <row r="146" spans="1:28">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c r="AA146" s="5"/>
      <c r="AB146" s="5"/>
    </row>
    <row r="147" spans="1:28">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c r="AA147" s="5"/>
      <c r="AB147" s="5"/>
    </row>
    <row r="148" spans="1:28">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c r="AA148" s="5"/>
      <c r="AB148" s="5"/>
    </row>
    <row r="149" spans="1:28">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c r="AA149" s="5"/>
      <c r="AB149" s="5"/>
    </row>
    <row r="150" spans="1:28">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c r="AB150" s="5"/>
    </row>
    <row r="151" spans="1:28">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c r="AA151" s="5"/>
      <c r="AB151" s="5"/>
    </row>
    <row r="152" spans="1:28">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c r="AA152" s="5"/>
      <c r="AB152" s="5"/>
    </row>
    <row r="153" spans="1:28">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c r="AA153" s="5"/>
      <c r="AB153" s="5"/>
    </row>
    <row r="154" spans="1:28">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c r="AA154" s="5"/>
      <c r="AB154" s="5"/>
    </row>
    <row r="155" spans="1:28">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c r="AB155" s="5"/>
    </row>
    <row r="156" spans="1:28">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c r="AA156" s="5"/>
      <c r="AB156" s="5"/>
    </row>
    <row r="157" spans="1:28">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c r="AA157" s="5"/>
      <c r="AB157" s="5"/>
    </row>
    <row r="158" spans="1:28">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c r="AA158" s="5"/>
      <c r="AB158" s="5"/>
    </row>
    <row r="159" spans="1:28">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c r="AA159" s="5"/>
      <c r="AB159" s="5"/>
    </row>
    <row r="160" spans="1:28">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c r="AA160" s="5"/>
      <c r="AB160" s="5"/>
    </row>
    <row r="161" spans="1:28">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c r="AA161" s="5"/>
      <c r="AB161" s="5"/>
    </row>
    <row r="162" spans="1:28">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c r="AA162" s="5"/>
      <c r="AB162" s="5"/>
    </row>
    <row r="163" spans="1:28">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c r="AA163" s="5"/>
      <c r="AB163" s="5"/>
    </row>
    <row r="164" spans="1:28">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c r="AB164" s="5"/>
    </row>
    <row r="165" spans="1:28">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c r="AA165" s="5"/>
      <c r="AB165" s="5"/>
    </row>
    <row r="166" spans="1:28">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c r="AA166" s="5"/>
      <c r="AB166" s="5"/>
    </row>
    <row r="167" spans="1:28">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c r="AA167" s="5"/>
      <c r="AB167" s="5"/>
    </row>
    <row r="168" spans="1:28">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c r="AA168" s="5"/>
      <c r="AB168" s="5"/>
    </row>
    <row r="169" spans="1:28">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c r="AA169" s="5"/>
      <c r="AB169" s="5"/>
    </row>
    <row r="170" spans="1:28">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c r="AA170" s="5"/>
      <c r="AB170" s="5"/>
    </row>
    <row r="171" spans="1:28">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c r="AA171" s="5"/>
      <c r="AB171" s="5"/>
    </row>
    <row r="172" spans="1:28">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5"/>
      <c r="AB172" s="5"/>
    </row>
    <row r="173" spans="1:28">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c r="AA173" s="5"/>
      <c r="AB173" s="5"/>
    </row>
    <row r="174" spans="1:28">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c r="AA174" s="5"/>
      <c r="AB174" s="5"/>
    </row>
    <row r="175" spans="1:28">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c r="AA175" s="5"/>
      <c r="AB175" s="5"/>
    </row>
    <row r="176" spans="1:28">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c r="AA176" s="5"/>
      <c r="AB176" s="5"/>
    </row>
    <row r="177" spans="1:28">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c r="AA177" s="5"/>
      <c r="AB177" s="5"/>
    </row>
    <row r="178" spans="1:28">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c r="AA178" s="5"/>
      <c r="AB178" s="5"/>
    </row>
    <row r="179" spans="1:28">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c r="AA179" s="5"/>
      <c r="AB179" s="5"/>
    </row>
    <row r="180" spans="1:28">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c r="AA180" s="5"/>
      <c r="AB180" s="5"/>
    </row>
    <row r="181" spans="1:28">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c r="AA181" s="5"/>
      <c r="AB181" s="5"/>
    </row>
    <row r="182" spans="1:28">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c r="AA182" s="5"/>
      <c r="AB182" s="5"/>
    </row>
    <row r="183" spans="1:28">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c r="AA183" s="5"/>
      <c r="AB183" s="5"/>
    </row>
    <row r="184" spans="1:28">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c r="AA184" s="5"/>
      <c r="AB184" s="5"/>
    </row>
    <row r="185" spans="1:28">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c r="AA185" s="5"/>
      <c r="AB185" s="5"/>
    </row>
    <row r="186" spans="1:28">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c r="AA186" s="5"/>
      <c r="AB186" s="5"/>
    </row>
    <row r="187" spans="1:28">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c r="AA187" s="5"/>
      <c r="AB187" s="5"/>
    </row>
    <row r="188" spans="1:28">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c r="AB188" s="5"/>
    </row>
    <row r="189" spans="1:28">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c r="AA189" s="5"/>
      <c r="AB189" s="5"/>
    </row>
    <row r="190" spans="1:28">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c r="AA190" s="5"/>
      <c r="AB190" s="5"/>
    </row>
    <row r="191" spans="1:28">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c r="AA191" s="5"/>
      <c r="AB191" s="5"/>
    </row>
    <row r="192" spans="1:28">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c r="AA192" s="5"/>
      <c r="AB192" s="5"/>
    </row>
    <row r="193" spans="1:28">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c r="AA193" s="5"/>
      <c r="AB193" s="5"/>
    </row>
    <row r="194" spans="1:28">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c r="AA194" s="5"/>
      <c r="AB194" s="5"/>
    </row>
    <row r="195" spans="1:28">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c r="AA195" s="5"/>
      <c r="AB195" s="5"/>
    </row>
    <row r="196" spans="1:28">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c r="AA196" s="5"/>
      <c r="AB196" s="5"/>
    </row>
    <row r="197" spans="1:28">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c r="AA197" s="5"/>
      <c r="AB197" s="5"/>
    </row>
    <row r="198" spans="1:28">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c r="AA198" s="5"/>
      <c r="AB198" s="5"/>
    </row>
    <row r="199" spans="1:28">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c r="AB199" s="5"/>
    </row>
    <row r="200" spans="1:28">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c r="AA200" s="5"/>
      <c r="AB200" s="5"/>
    </row>
    <row r="201" spans="1:28">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c r="AA201" s="5"/>
      <c r="AB201" s="5"/>
    </row>
    <row r="202" spans="1:28">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c r="AA202" s="5"/>
      <c r="AB202" s="5"/>
    </row>
    <row r="203" spans="1:28">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c r="AA203" s="5"/>
      <c r="AB203" s="5"/>
    </row>
    <row r="204" spans="1:28">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c r="AA204" s="5"/>
      <c r="AB204" s="5"/>
    </row>
    <row r="205" spans="1:28">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c r="AA205" s="5"/>
      <c r="AB205" s="5"/>
    </row>
    <row r="206" spans="1:28">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c r="AA206" s="5"/>
      <c r="AB206" s="5"/>
    </row>
    <row r="207" spans="1:28">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c r="AA207" s="5"/>
      <c r="AB207" s="5"/>
    </row>
    <row r="208" spans="1:28">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c r="AA208" s="5"/>
      <c r="AB208" s="5"/>
    </row>
    <row r="209" spans="1:28">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c r="AA209" s="5"/>
      <c r="AB209" s="5"/>
    </row>
    <row r="210" spans="1:28">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c r="AA210" s="5"/>
      <c r="AB210" s="5"/>
    </row>
    <row r="211" spans="1:28">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c r="AA211" s="5"/>
      <c r="AB211" s="5"/>
    </row>
    <row r="212" spans="1:28">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c r="AA212" s="5"/>
      <c r="AB212" s="5"/>
    </row>
    <row r="213" spans="1:28">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c r="AA213" s="5"/>
      <c r="AB213" s="5"/>
    </row>
    <row r="214" spans="1:28">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c r="AB214" s="5"/>
    </row>
    <row r="215" spans="1:28">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c r="AB215" s="5"/>
    </row>
    <row r="216" spans="1:28">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c r="AA216" s="5"/>
      <c r="AB216" s="5"/>
    </row>
    <row r="217" spans="1:28">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c r="AA217" s="5"/>
      <c r="AB217" s="5"/>
    </row>
    <row r="218" spans="1:28">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c r="AA218" s="5"/>
      <c r="AB218" s="5"/>
    </row>
    <row r="219" spans="1:28">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c r="AA219" s="5"/>
      <c r="AB219" s="5"/>
    </row>
    <row r="220" spans="1:28">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c r="AA220" s="5"/>
      <c r="AB220" s="5"/>
    </row>
    <row r="221" spans="1:28">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c r="AA221" s="5"/>
      <c r="AB221" s="5"/>
    </row>
    <row r="222" spans="1:28">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c r="AA222" s="5"/>
      <c r="AB222" s="5"/>
    </row>
    <row r="223" spans="1:28">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c r="AA223" s="5"/>
      <c r="AB223" s="5"/>
    </row>
    <row r="224" spans="1:28">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c r="AA224" s="5"/>
      <c r="AB224" s="5"/>
    </row>
    <row r="225" spans="1:28">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c r="AA225" s="5"/>
      <c r="AB225" s="5"/>
    </row>
    <row r="226" spans="1:28">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c r="AA226" s="5"/>
      <c r="AB226" s="5"/>
    </row>
    <row r="227" spans="1:28">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c r="AA227" s="5"/>
      <c r="AB227" s="5"/>
    </row>
    <row r="228" spans="1:28">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c r="AA228" s="5"/>
      <c r="AB228" s="5"/>
    </row>
    <row r="229" spans="1:28">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c r="AA229" s="5"/>
      <c r="AB229" s="5"/>
    </row>
    <row r="230" spans="1:28">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c r="AA230" s="5"/>
      <c r="AB230" s="5"/>
    </row>
    <row r="231" spans="1:28">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c r="AB231" s="5"/>
    </row>
    <row r="232" spans="1:28">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c r="AA232" s="5"/>
      <c r="AB232" s="5"/>
    </row>
    <row r="233" spans="1:28">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c r="AA233" s="5"/>
      <c r="AB233" s="5"/>
    </row>
    <row r="234" spans="1:28">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c r="AA234" s="5"/>
      <c r="AB234" s="5"/>
    </row>
    <row r="235" spans="1:28">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c r="AA235" s="5"/>
      <c r="AB235" s="5"/>
    </row>
    <row r="236" spans="1:28">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c r="AA236" s="5"/>
      <c r="AB236" s="5"/>
    </row>
    <row r="237" spans="1:28">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c r="AA237" s="5"/>
      <c r="AB237" s="5"/>
    </row>
    <row r="238" spans="1:28">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c r="AA238" s="5"/>
      <c r="AB238" s="5"/>
    </row>
    <row r="239" spans="1:28">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c r="AA239" s="5"/>
      <c r="AB239" s="5"/>
    </row>
    <row r="240" spans="1:28">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c r="AA240" s="5"/>
      <c r="AB240" s="5"/>
    </row>
    <row r="241" spans="1:28">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c r="AA241" s="5"/>
      <c r="AB241" s="5"/>
    </row>
    <row r="242" spans="1:28">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c r="AA242" s="5"/>
      <c r="AB242" s="5"/>
    </row>
    <row r="243" spans="1:28">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c r="AA243" s="5"/>
      <c r="AB243" s="5"/>
    </row>
    <row r="244" spans="1:28">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c r="AA244" s="5"/>
      <c r="AB244" s="5"/>
    </row>
    <row r="245" spans="1:28">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c r="AA245" s="5"/>
      <c r="AB245" s="5"/>
    </row>
    <row r="246" spans="1:28">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c r="AA246" s="5"/>
      <c r="AB246" s="5"/>
    </row>
    <row r="247" spans="1:28">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c r="AB247" s="5"/>
    </row>
    <row r="248" spans="1:28">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c r="AA248" s="5"/>
      <c r="AB248" s="5"/>
    </row>
    <row r="249" spans="1:28">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c r="AA249" s="5"/>
      <c r="AB249" s="5"/>
    </row>
    <row r="250" spans="1:28">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c r="AA250" s="5"/>
      <c r="AB250" s="5"/>
    </row>
    <row r="251" spans="1:28">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c r="AA251" s="5"/>
      <c r="AB251" s="5"/>
    </row>
    <row r="252" spans="1:28">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c r="AA252" s="5"/>
      <c r="AB252" s="5"/>
    </row>
    <row r="253" spans="1:28">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c r="AA253" s="5"/>
      <c r="AB253" s="5"/>
    </row>
    <row r="254" spans="1:28">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c r="AA254" s="5"/>
      <c r="AB254" s="5"/>
    </row>
    <row r="255" spans="1:28">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c r="AA255" s="5"/>
      <c r="AB255" s="5"/>
    </row>
    <row r="256" spans="1:28">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c r="AA256" s="5"/>
      <c r="AB256" s="5"/>
    </row>
    <row r="257" spans="1:28">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5"/>
      <c r="AB257" s="5"/>
    </row>
    <row r="258" spans="1:28">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c r="AB258" s="5"/>
    </row>
    <row r="259" spans="1:28">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c r="AA259" s="5"/>
      <c r="AB259" s="5"/>
    </row>
    <row r="260" spans="1:28">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c r="AA260" s="5"/>
      <c r="AB260" s="5"/>
    </row>
    <row r="261" spans="1:28">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c r="AA261" s="5"/>
      <c r="AB261" s="5"/>
    </row>
    <row r="262" spans="1:28">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c r="AA262" s="5"/>
      <c r="AB262" s="5"/>
    </row>
    <row r="263" spans="1:28">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c r="AA263" s="5"/>
      <c r="AB263" s="5"/>
    </row>
    <row r="264" spans="1:28">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c r="AA264" s="5"/>
      <c r="AB264" s="5"/>
    </row>
    <row r="265" spans="1:28">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c r="AA265" s="5"/>
      <c r="AB265" s="5"/>
    </row>
    <row r="266" spans="1:28">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c r="AA266" s="5"/>
      <c r="AB266" s="5"/>
    </row>
    <row r="267" spans="1:28">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c r="AA267" s="5"/>
      <c r="AB267" s="5"/>
    </row>
    <row r="268" spans="1:28">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c r="AB268" s="5"/>
    </row>
    <row r="269" spans="1:28">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c r="AA269" s="5"/>
      <c r="AB269" s="5"/>
    </row>
    <row r="270" spans="1:28">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c r="AA270" s="5"/>
      <c r="AB270" s="5"/>
    </row>
    <row r="271" spans="1:28">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c r="AA271" s="5"/>
      <c r="AB271" s="5"/>
    </row>
    <row r="272" spans="1:28">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c r="AA272" s="5"/>
      <c r="AB272" s="5"/>
    </row>
    <row r="273" spans="1:28">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c r="AA273" s="5"/>
      <c r="AB273" s="5"/>
    </row>
    <row r="274" spans="1:28">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c r="AA274" s="5"/>
      <c r="AB274" s="5"/>
    </row>
    <row r="275" spans="1:28">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c r="AA275" s="5"/>
      <c r="AB275" s="5"/>
    </row>
    <row r="276" spans="1:28">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c r="AA276" s="5"/>
      <c r="AB276" s="5"/>
    </row>
    <row r="277" spans="1:28">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c r="AA277" s="5"/>
      <c r="AB277" s="5"/>
    </row>
    <row r="278" spans="1:28">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c r="AB278" s="5"/>
    </row>
    <row r="279" spans="1:28">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c r="AA279" s="5"/>
      <c r="AB279" s="5"/>
    </row>
    <row r="280" spans="1:28">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c r="AA280" s="5"/>
      <c r="AB280" s="5"/>
    </row>
    <row r="281" spans="1:28">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c r="AA281" s="5"/>
      <c r="AB281" s="5"/>
    </row>
    <row r="282" spans="1:28">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c r="AA282" s="5"/>
      <c r="AB282" s="5"/>
    </row>
    <row r="283" spans="1:28">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c r="AA283" s="5"/>
      <c r="AB283" s="5"/>
    </row>
    <row r="284" spans="1:28">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c r="AA284" s="5"/>
      <c r="AB284" s="5"/>
    </row>
    <row r="285" spans="1:28">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c r="AA285" s="5"/>
      <c r="AB285" s="5"/>
    </row>
    <row r="286" spans="1:28">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c r="AA286" s="5"/>
      <c r="AB286" s="5"/>
    </row>
    <row r="287" spans="1:28">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c r="AA287" s="5"/>
      <c r="AB287" s="5"/>
    </row>
    <row r="288" spans="1:28">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c r="AA288" s="5"/>
      <c r="AB288" s="5"/>
    </row>
    <row r="289" spans="1:28">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c r="AA289" s="5"/>
      <c r="AB289" s="5"/>
    </row>
    <row r="290" spans="1:28">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c r="AA290" s="5"/>
      <c r="AB290" s="5"/>
    </row>
    <row r="291" spans="1:28">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c r="AA291" s="5"/>
      <c r="AB291" s="5"/>
    </row>
    <row r="292" spans="1:28">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c r="AA292" s="5"/>
      <c r="AB292" s="5"/>
    </row>
    <row r="293" spans="1:28">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c r="AA293" s="5"/>
      <c r="AB293" s="5"/>
    </row>
    <row r="294" spans="1:28">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c r="AA294" s="5"/>
      <c r="AB294" s="5"/>
    </row>
    <row r="295" spans="1:28">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c r="AA295" s="5"/>
      <c r="AB295" s="5"/>
    </row>
    <row r="296" spans="1:28">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c r="AA296" s="5"/>
      <c r="AB296" s="5"/>
    </row>
    <row r="297" spans="1:28">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c r="AA297" s="5"/>
      <c r="AB297" s="5"/>
    </row>
    <row r="298" spans="1:28">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c r="AA298" s="5"/>
      <c r="AB298" s="5"/>
    </row>
    <row r="299" spans="1:28">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c r="AA299" s="5"/>
      <c r="AB299" s="5"/>
    </row>
    <row r="300" spans="1:28">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c r="AA300" s="5"/>
      <c r="AB300" s="5"/>
    </row>
    <row r="301" spans="1:28">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c r="AA301" s="5"/>
      <c r="AB301" s="5"/>
    </row>
    <row r="302" spans="1:28">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c r="AA302" s="5"/>
      <c r="AB302" s="5"/>
    </row>
    <row r="303" spans="1:28">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c r="AA303" s="5"/>
      <c r="AB303" s="5"/>
    </row>
    <row r="304" spans="1:28">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c r="AA304" s="5"/>
      <c r="AB304" s="5"/>
    </row>
    <row r="305" spans="1:28">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c r="AA305" s="5"/>
      <c r="AB305" s="5"/>
    </row>
    <row r="306" spans="1:28">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c r="AA306" s="5"/>
      <c r="AB306" s="5"/>
    </row>
    <row r="307" spans="1:28">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c r="AA307" s="5"/>
      <c r="AB307" s="5"/>
    </row>
    <row r="308" spans="1:28">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c r="AA308" s="5"/>
      <c r="AB308" s="5"/>
    </row>
    <row r="309" spans="1:28">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c r="AA309" s="5"/>
      <c r="AB309" s="5"/>
    </row>
    <row r="310" spans="1:28">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c r="AA310" s="5"/>
      <c r="AB310" s="5"/>
    </row>
    <row r="311" spans="1:28">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c r="AA311" s="5"/>
      <c r="AB311" s="5"/>
    </row>
    <row r="312" spans="1:28">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c r="AA312" s="5"/>
      <c r="AB312" s="5"/>
    </row>
    <row r="313" spans="1:28">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c r="AA313" s="5"/>
      <c r="AB313" s="5"/>
    </row>
    <row r="314" spans="1:28">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c r="AA314" s="5"/>
      <c r="AB314" s="5"/>
    </row>
    <row r="315" spans="1:28">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c r="AA315" s="5"/>
      <c r="AB315" s="5"/>
    </row>
    <row r="316" spans="1:28">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c r="AA316" s="5"/>
      <c r="AB316" s="5"/>
    </row>
    <row r="317" spans="1:28">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c r="AA317" s="5"/>
      <c r="AB317" s="5"/>
    </row>
    <row r="318" spans="1:28">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c r="AA318" s="5"/>
      <c r="AB318" s="5"/>
    </row>
    <row r="319" spans="1:28">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c r="AA319" s="5"/>
      <c r="AB319" s="5"/>
    </row>
    <row r="320" spans="1:28">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c r="AA320" s="5"/>
      <c r="AB320" s="5"/>
    </row>
    <row r="321" spans="1:28">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c r="AA321" s="5"/>
      <c r="AB321" s="5"/>
    </row>
    <row r="322" spans="1:28">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c r="AA322" s="5"/>
      <c r="AB322" s="5"/>
    </row>
    <row r="323" spans="1:28">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c r="AA323" s="5"/>
      <c r="AB323" s="5"/>
    </row>
    <row r="324" spans="1:28">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c r="AA324" s="5"/>
      <c r="AB324" s="5"/>
    </row>
    <row r="325" spans="1:28">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c r="AA325" s="5"/>
      <c r="AB325" s="5"/>
    </row>
    <row r="326" spans="1:28">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c r="AA326" s="5"/>
      <c r="AB326" s="5"/>
    </row>
    <row r="327" spans="1:28">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c r="AA327" s="5"/>
      <c r="AB327" s="5"/>
    </row>
    <row r="328" spans="1:28">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c r="AA328" s="5"/>
      <c r="AB328" s="5"/>
    </row>
    <row r="329" spans="1:28">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c r="AA329" s="5"/>
      <c r="AB329" s="5"/>
    </row>
    <row r="330" spans="1:28">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c r="AA330" s="5"/>
      <c r="AB330" s="5"/>
    </row>
    <row r="331" spans="1:28">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c r="AA331" s="5"/>
      <c r="AB331" s="5"/>
    </row>
    <row r="332" spans="1:28">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c r="AA332" s="5"/>
      <c r="AB332" s="5"/>
    </row>
    <row r="333" spans="1:28">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c r="AA333" s="5"/>
      <c r="AB333" s="5"/>
    </row>
    <row r="334" spans="1:28">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c r="AA334" s="5"/>
      <c r="AB334" s="5"/>
    </row>
    <row r="335" spans="1:28">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c r="AA335" s="5"/>
      <c r="AB335" s="5"/>
    </row>
    <row r="336" spans="1:28">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c r="AA336" s="5"/>
      <c r="AB336" s="5"/>
    </row>
    <row r="337" spans="1:28">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c r="AA337" s="5"/>
      <c r="AB337" s="5"/>
    </row>
    <row r="338" spans="1:28">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c r="AA338" s="5"/>
      <c r="AB338" s="5"/>
    </row>
    <row r="339" spans="1:28">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c r="AA339" s="5"/>
      <c r="AB339" s="5"/>
    </row>
    <row r="340" spans="1:28">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c r="AA340" s="5"/>
      <c r="AB340" s="5"/>
    </row>
    <row r="341" spans="1:28">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c r="AA341" s="5"/>
      <c r="AB341" s="5"/>
    </row>
    <row r="342" spans="1:28">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c r="AA342" s="5"/>
      <c r="AB342" s="5"/>
    </row>
    <row r="343" spans="1:28">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c r="AA343" s="5"/>
      <c r="AB343" s="5"/>
    </row>
    <row r="344" spans="1:28">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c r="AA344" s="5"/>
      <c r="AB344" s="5"/>
    </row>
    <row r="345" spans="1:28">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c r="AA345" s="5"/>
      <c r="AB345" s="5"/>
    </row>
    <row r="346" spans="1:28">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c r="AA346" s="5"/>
      <c r="AB346" s="5"/>
    </row>
    <row r="347" spans="1:28">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c r="AA347" s="5"/>
      <c r="AB347" s="5"/>
    </row>
    <row r="348" spans="1:28">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c r="AA348" s="5"/>
      <c r="AB348" s="5"/>
    </row>
    <row r="349" spans="1:28">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c r="AA349" s="5"/>
      <c r="AB349" s="5"/>
    </row>
    <row r="350" spans="1:28">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c r="AA350" s="5"/>
      <c r="AB350" s="5"/>
    </row>
    <row r="351" spans="1:28">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c r="AA351" s="5"/>
      <c r="AB351" s="5"/>
    </row>
    <row r="352" spans="1:28">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c r="AA352" s="5"/>
      <c r="AB352" s="5"/>
    </row>
    <row r="353" spans="1:28">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c r="AA353" s="5"/>
      <c r="AB353" s="5"/>
    </row>
    <row r="354" spans="1:28">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c r="AA354" s="5"/>
      <c r="AB354" s="5"/>
    </row>
    <row r="355" spans="1:28">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c r="AA355" s="5"/>
      <c r="AB355" s="5"/>
    </row>
    <row r="356" spans="1:28">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c r="AA356" s="5"/>
      <c r="AB356" s="5"/>
    </row>
    <row r="357" spans="1:28">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c r="AA357" s="5"/>
      <c r="AB357" s="5"/>
    </row>
    <row r="358" spans="1:28">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c r="AA358" s="5"/>
      <c r="AB358" s="5"/>
    </row>
    <row r="359" spans="1:28">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c r="AA359" s="5"/>
      <c r="AB359" s="5"/>
    </row>
    <row r="360" spans="1:28">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c r="AA360" s="5"/>
      <c r="AB360" s="5"/>
    </row>
    <row r="361" spans="1:28">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c r="AA361" s="5"/>
      <c r="AB361" s="5"/>
    </row>
    <row r="362" spans="1:28">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c r="AA362" s="5"/>
      <c r="AB362" s="5"/>
    </row>
    <row r="363" spans="1:28">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c r="AA363" s="5"/>
      <c r="AB363" s="5"/>
    </row>
    <row r="364" spans="1:28">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c r="AA364" s="5"/>
      <c r="AB364" s="5"/>
    </row>
    <row r="365" spans="1:28">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c r="AA365" s="5"/>
      <c r="AB365" s="5"/>
    </row>
    <row r="366" spans="1:28">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c r="AA366" s="5"/>
      <c r="AB366" s="5"/>
    </row>
    <row r="367" spans="1:28">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c r="AA367" s="5"/>
      <c r="AB367" s="5"/>
    </row>
    <row r="368" spans="1:28">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c r="AA368" s="5"/>
      <c r="AB368" s="5"/>
    </row>
    <row r="369" spans="1:28">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c r="AA369" s="5"/>
      <c r="AB369" s="5"/>
    </row>
    <row r="370" spans="1:28">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c r="AA370" s="5"/>
      <c r="AB370" s="5"/>
    </row>
    <row r="371" spans="1:28">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c r="AA371" s="5"/>
      <c r="AB371" s="5"/>
    </row>
    <row r="372" spans="1:28">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c r="AA372" s="5"/>
      <c r="AB372" s="5"/>
    </row>
    <row r="373" spans="1:28">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c r="AA373" s="5"/>
      <c r="AB373" s="5"/>
    </row>
    <row r="374" spans="1:28">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c r="AA374" s="5"/>
      <c r="AB374" s="5"/>
    </row>
    <row r="375" spans="1:28">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c r="AA375" s="5"/>
      <c r="AB375" s="5"/>
    </row>
    <row r="376" spans="1:28">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c r="AA376" s="5"/>
      <c r="AB376" s="5"/>
    </row>
    <row r="377" spans="1:28">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c r="AA377" s="5"/>
      <c r="AB377" s="5"/>
    </row>
    <row r="378" spans="1:28">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c r="AA378" s="5"/>
      <c r="AB378" s="5"/>
    </row>
    <row r="379" spans="1:28">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c r="AA379" s="5"/>
      <c r="AB379" s="5"/>
    </row>
    <row r="380" spans="1:28">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c r="AA380" s="5"/>
      <c r="AB380" s="5"/>
    </row>
    <row r="381" spans="1:28">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c r="AA381" s="5"/>
      <c r="AB381" s="5"/>
    </row>
    <row r="382" spans="1:28">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c r="AA382" s="5"/>
      <c r="AB382" s="5"/>
    </row>
    <row r="383" spans="1:28">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c r="AA383" s="5"/>
      <c r="AB383" s="5"/>
    </row>
    <row r="384" spans="1:28">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c r="AA384" s="5"/>
      <c r="AB384" s="5"/>
    </row>
    <row r="385" spans="1:28">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c r="AA385" s="5"/>
      <c r="AB385" s="5"/>
    </row>
    <row r="386" spans="1:28">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c r="AA386" s="5"/>
      <c r="AB386" s="5"/>
    </row>
    <row r="387" spans="1:28">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c r="AA387" s="5"/>
      <c r="AB387" s="5"/>
    </row>
    <row r="388" spans="1:28">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c r="AA388" s="5"/>
      <c r="AB388" s="5"/>
    </row>
    <row r="389" spans="1:28">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c r="AA389" s="5"/>
      <c r="AB389" s="5"/>
    </row>
    <row r="390" spans="1:28">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c r="AA390" s="5"/>
      <c r="AB390" s="5"/>
    </row>
    <row r="391" spans="1:28">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c r="AA391" s="5"/>
      <c r="AB391" s="5"/>
    </row>
    <row r="392" spans="1:28">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c r="AA392" s="5"/>
      <c r="AB392" s="5"/>
    </row>
    <row r="393" spans="1:28">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c r="AA393" s="5"/>
      <c r="AB393" s="5"/>
    </row>
    <row r="394" spans="1:28">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c r="AA394" s="5"/>
      <c r="AB394" s="5"/>
    </row>
    <row r="395" spans="1:28">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c r="AA395" s="5"/>
      <c r="AB395" s="5"/>
    </row>
    <row r="396" spans="1:28">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c r="AA396" s="5"/>
      <c r="AB396" s="5"/>
    </row>
    <row r="397" spans="1:28">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c r="AA397" s="5"/>
      <c r="AB397" s="5"/>
    </row>
    <row r="398" spans="1:28">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c r="AA398" s="5"/>
      <c r="AB398" s="5"/>
    </row>
    <row r="399" spans="1:28">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c r="AA399" s="5"/>
      <c r="AB399" s="5"/>
    </row>
    <row r="400" spans="1:28">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c r="AA400" s="5"/>
      <c r="AB400" s="5"/>
    </row>
    <row r="401" spans="1:28">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c r="AA401" s="5"/>
      <c r="AB401" s="5"/>
    </row>
    <row r="402" spans="1:28">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c r="AA402" s="5"/>
      <c r="AB402" s="5"/>
    </row>
    <row r="403" spans="1:28">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c r="AA403" s="5"/>
      <c r="AB403" s="5"/>
    </row>
    <row r="404" spans="1:28">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c r="AA404" s="5"/>
      <c r="AB404" s="5"/>
    </row>
    <row r="405" spans="1:28">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c r="AA405" s="5"/>
      <c r="AB405" s="5"/>
    </row>
    <row r="406" spans="1:28">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c r="AA406" s="5"/>
      <c r="AB406" s="5"/>
    </row>
    <row r="407" spans="1:28">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c r="AA407" s="5"/>
      <c r="AB407" s="5"/>
    </row>
    <row r="408" spans="1:28">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c r="AA408" s="5"/>
      <c r="AB408" s="5"/>
    </row>
    <row r="409" spans="1:28">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c r="AA409" s="5"/>
      <c r="AB409" s="5"/>
    </row>
    <row r="410" spans="1:28">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c r="AA410" s="5"/>
      <c r="AB410" s="5"/>
    </row>
    <row r="411" spans="1:28">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c r="AA411" s="5"/>
      <c r="AB411" s="5"/>
    </row>
    <row r="412" spans="1:28">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c r="AA412" s="5"/>
      <c r="AB412" s="5"/>
    </row>
    <row r="413" spans="1:28">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c r="AA413" s="5"/>
      <c r="AB413" s="5"/>
    </row>
    <row r="414" spans="1:28">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c r="AA414" s="5"/>
      <c r="AB414" s="5"/>
    </row>
    <row r="415" spans="1:28">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c r="AA415" s="5"/>
      <c r="AB415" s="5"/>
    </row>
    <row r="416" spans="1:28">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c r="AA416" s="5"/>
      <c r="AB416" s="5"/>
    </row>
    <row r="417" spans="1:28">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c r="AA417" s="5"/>
      <c r="AB417" s="5"/>
    </row>
    <row r="418" spans="1:28">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c r="AA418" s="5"/>
      <c r="AB418" s="5"/>
    </row>
    <row r="419" spans="1:28">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c r="AA419" s="5"/>
      <c r="AB419" s="5"/>
    </row>
    <row r="420" spans="1:28">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c r="AA420" s="5"/>
      <c r="AB420" s="5"/>
    </row>
    <row r="421" spans="1:28">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c r="AA421" s="5"/>
      <c r="AB421" s="5"/>
    </row>
    <row r="422" spans="1:28">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c r="AA422" s="5"/>
      <c r="AB422" s="5"/>
    </row>
    <row r="423" spans="1:28">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c r="AA423" s="5"/>
      <c r="AB423" s="5"/>
    </row>
    <row r="424" spans="1:28">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c r="AA424" s="5"/>
      <c r="AB424" s="5"/>
    </row>
    <row r="425" spans="1:28">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c r="AA425" s="5"/>
      <c r="AB425" s="5"/>
    </row>
    <row r="426" spans="1:28">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c r="AA426" s="5"/>
      <c r="AB426" s="5"/>
    </row>
    <row r="427" spans="1:28">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c r="AA427" s="5"/>
      <c r="AB427" s="5"/>
    </row>
    <row r="428" spans="1:28">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c r="AA428" s="5"/>
      <c r="AB428" s="5"/>
    </row>
    <row r="429" spans="1:28">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c r="AA429" s="5"/>
      <c r="AB429" s="5"/>
    </row>
    <row r="430" spans="1:28">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c r="AA430" s="5"/>
      <c r="AB430" s="5"/>
    </row>
    <row r="431" spans="1:28">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c r="AA431" s="5"/>
      <c r="AB431" s="5"/>
    </row>
    <row r="432" spans="1:28">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c r="AA432" s="5"/>
      <c r="AB432" s="5"/>
    </row>
    <row r="433" spans="1:28">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c r="AA433" s="5"/>
      <c r="AB433" s="5"/>
    </row>
    <row r="434" spans="1:28">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c r="AA434" s="5"/>
      <c r="AB434" s="5"/>
    </row>
    <row r="435" spans="1:28">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c r="AA435" s="5"/>
      <c r="AB435" s="5"/>
    </row>
    <row r="436" spans="1:28">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c r="AA436" s="5"/>
      <c r="AB436" s="5"/>
    </row>
    <row r="437" spans="1:28">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c r="AA437" s="5"/>
      <c r="AB437" s="5"/>
    </row>
    <row r="438" spans="1:28">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c r="AA438" s="5"/>
      <c r="AB438" s="5"/>
    </row>
    <row r="439" spans="1:28">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c r="AA439" s="5"/>
      <c r="AB439" s="5"/>
    </row>
    <row r="440" spans="1:28">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c r="AA440" s="5"/>
      <c r="AB440" s="5"/>
    </row>
    <row r="441" spans="1:28">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c r="AA441" s="5"/>
      <c r="AB441" s="5"/>
    </row>
    <row r="442" spans="1:28">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c r="AA442" s="5"/>
      <c r="AB442" s="5"/>
    </row>
    <row r="443" spans="1:28">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c r="AA443" s="5"/>
      <c r="AB443" s="5"/>
    </row>
    <row r="444" spans="1:28">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c r="AA444" s="5"/>
      <c r="AB444" s="5"/>
    </row>
    <row r="445" spans="1:28">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c r="AA445" s="5"/>
      <c r="AB445" s="5"/>
    </row>
    <row r="446" spans="1:28">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c r="AA446" s="5"/>
      <c r="AB446" s="5"/>
    </row>
    <row r="447" spans="1:28">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c r="AA447" s="5"/>
      <c r="AB447" s="5"/>
    </row>
    <row r="448" spans="1:28">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c r="AA448" s="5"/>
      <c r="AB448" s="5"/>
    </row>
    <row r="449" spans="1:28">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c r="AA449" s="5"/>
      <c r="AB449" s="5"/>
    </row>
    <row r="450" spans="1:28">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c r="AA450" s="5"/>
      <c r="AB450" s="5"/>
    </row>
    <row r="451" spans="1:28">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c r="AA451" s="5"/>
      <c r="AB451" s="5"/>
    </row>
    <row r="452" spans="1:28">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c r="AA452" s="5"/>
      <c r="AB452" s="5"/>
    </row>
    <row r="453" spans="1:28">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c r="AA453" s="5"/>
      <c r="AB453" s="5"/>
    </row>
    <row r="454" spans="1:28">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c r="AA454" s="5"/>
      <c r="AB454" s="5"/>
    </row>
    <row r="455" spans="1:28">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c r="AA455" s="5"/>
      <c r="AB455" s="5"/>
    </row>
    <row r="456" spans="1:28">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c r="AA456" s="5"/>
      <c r="AB456" s="5"/>
    </row>
    <row r="457" spans="1:28">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c r="AA457" s="5"/>
      <c r="AB457" s="5"/>
    </row>
    <row r="458" spans="1:28">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c r="AA458" s="5"/>
      <c r="AB458" s="5"/>
    </row>
    <row r="459" spans="1:28">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c r="AA459" s="5"/>
      <c r="AB459" s="5"/>
    </row>
    <row r="460" spans="1:28">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c r="AA460" s="5"/>
      <c r="AB460" s="5"/>
    </row>
    <row r="461" spans="1:28">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c r="AA461" s="5"/>
      <c r="AB461" s="5"/>
    </row>
    <row r="462" spans="1:28">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c r="AA462" s="5"/>
      <c r="AB462" s="5"/>
    </row>
    <row r="463" spans="1:28">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c r="AA463" s="5"/>
      <c r="AB463" s="5"/>
    </row>
    <row r="464" spans="1:28">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c r="AA464" s="5"/>
      <c r="AB464" s="5"/>
    </row>
    <row r="465" spans="1:28">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c r="AA465" s="5"/>
      <c r="AB465" s="5"/>
    </row>
    <row r="466" spans="1:28">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c r="AA466" s="5"/>
      <c r="AB466" s="5"/>
    </row>
    <row r="467" spans="1:28">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c r="AA467" s="5"/>
      <c r="AB467" s="5"/>
    </row>
    <row r="468" spans="1:28">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c r="AA468" s="5"/>
      <c r="AB468" s="5"/>
    </row>
    <row r="469" spans="1:28">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c r="AA469" s="5"/>
      <c r="AB469" s="5"/>
    </row>
    <row r="470" spans="1:28">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c r="AA470" s="5"/>
      <c r="AB470" s="5"/>
    </row>
    <row r="471" spans="1:28">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c r="AA471" s="5"/>
      <c r="AB471" s="5"/>
    </row>
    <row r="472" spans="1:28">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c r="AA472" s="5"/>
      <c r="AB472" s="5"/>
    </row>
    <row r="473" spans="1:28">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c r="AA473" s="5"/>
      <c r="AB473" s="5"/>
    </row>
    <row r="474" spans="1:28">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c r="AA474" s="5"/>
      <c r="AB474" s="5"/>
    </row>
    <row r="475" spans="1:28">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c r="AA475" s="5"/>
      <c r="AB475" s="5"/>
    </row>
    <row r="476" spans="1:28">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c r="AA476" s="5"/>
      <c r="AB476" s="5"/>
    </row>
    <row r="477" spans="1:28">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c r="AA477" s="5"/>
      <c r="AB477" s="5"/>
    </row>
    <row r="478" spans="1:28">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c r="AA478" s="5"/>
      <c r="AB478" s="5"/>
    </row>
    <row r="479" spans="1:28">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c r="AA479" s="5"/>
      <c r="AB479" s="5"/>
    </row>
    <row r="480" spans="1:28">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c r="AA480" s="5"/>
      <c r="AB480" s="5"/>
    </row>
    <row r="481" spans="1:28">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c r="AA481" s="5"/>
      <c r="AB481" s="5"/>
    </row>
    <row r="482" spans="1:28">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c r="AA482" s="5"/>
      <c r="AB482" s="5"/>
    </row>
    <row r="483" spans="1:28">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c r="AA483" s="5"/>
      <c r="AB483" s="5"/>
    </row>
    <row r="484" spans="1:28">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c r="AA484" s="5"/>
      <c r="AB484" s="5"/>
    </row>
    <row r="485" spans="1:28">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c r="AA485" s="5"/>
      <c r="AB485" s="5"/>
    </row>
    <row r="486" spans="1:28">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c r="AA486" s="5"/>
      <c r="AB486" s="5"/>
    </row>
    <row r="487" spans="1:28">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c r="AA487" s="5"/>
      <c r="AB487" s="5"/>
    </row>
    <row r="488" spans="1:28">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c r="AA488" s="5"/>
      <c r="AB488" s="5"/>
    </row>
    <row r="489" spans="1:28">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c r="AA489" s="5"/>
      <c r="AB489" s="5"/>
    </row>
    <row r="490" spans="1:28">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c r="AA490" s="5"/>
      <c r="AB490" s="5"/>
    </row>
    <row r="491" spans="1:28">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c r="AA491" s="5"/>
      <c r="AB491" s="5"/>
    </row>
    <row r="492" spans="1:28">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c r="AA492" s="5"/>
      <c r="AB492" s="5"/>
    </row>
    <row r="493" spans="1:28">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c r="AA493" s="5"/>
      <c r="AB493" s="5"/>
    </row>
    <row r="494" spans="1:28">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c r="AA494" s="5"/>
      <c r="AB494" s="5"/>
    </row>
    <row r="495" spans="1:28">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c r="AA495" s="5"/>
      <c r="AB495" s="5"/>
    </row>
    <row r="496" spans="1:28">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c r="AA496" s="5"/>
      <c r="AB496" s="5"/>
    </row>
    <row r="497" spans="1:28">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c r="AA497" s="5"/>
      <c r="AB497" s="5"/>
    </row>
    <row r="498" spans="1:28">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c r="AA498" s="5"/>
      <c r="AB498" s="5"/>
    </row>
    <row r="499" spans="1:28">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c r="AA499" s="5"/>
      <c r="AB499" s="5"/>
    </row>
    <row r="500" spans="1:28">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c r="AA500" s="5"/>
      <c r="AB500" s="5"/>
    </row>
    <row r="501" spans="1:28">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c r="AA501" s="5"/>
      <c r="AB501" s="5"/>
    </row>
    <row r="502" spans="1:28">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c r="AA502" s="5"/>
      <c r="AB502" s="5"/>
    </row>
    <row r="503" spans="1:28">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c r="AA503" s="5"/>
      <c r="AB503" s="5"/>
    </row>
    <row r="504" spans="1:28">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c r="AA504" s="5"/>
      <c r="AB504" s="5"/>
    </row>
    <row r="505" spans="1:28">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c r="AA505" s="5"/>
      <c r="AB505" s="5"/>
    </row>
    <row r="506" spans="1:28">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c r="AA506" s="5"/>
      <c r="AB506" s="5"/>
    </row>
    <row r="507" spans="1:28">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c r="AA507" s="5"/>
      <c r="AB507" s="5"/>
    </row>
    <row r="508" spans="1:28">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c r="AA508" s="5"/>
      <c r="AB508" s="5"/>
    </row>
    <row r="509" spans="1:28">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c r="AA509" s="5"/>
      <c r="AB509" s="5"/>
    </row>
    <row r="510" spans="1:28">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c r="AA510" s="5"/>
      <c r="AB510" s="5"/>
    </row>
    <row r="511" spans="1:28">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c r="AA511" s="5"/>
      <c r="AB511" s="5"/>
    </row>
    <row r="512" spans="1:28">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c r="AA512" s="5"/>
      <c r="AB512" s="5"/>
    </row>
    <row r="513" spans="1:28">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c r="AA513" s="5"/>
      <c r="AB513" s="5"/>
    </row>
    <row r="514" spans="1:28">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c r="AA514" s="5"/>
      <c r="AB514" s="5"/>
    </row>
    <row r="515" spans="1:28">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c r="AA515" s="5"/>
      <c r="AB515" s="5"/>
    </row>
    <row r="516" spans="1:28">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c r="AA516" s="5"/>
      <c r="AB516" s="5"/>
    </row>
    <row r="517" spans="1:28">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c r="AA517" s="5"/>
      <c r="AB517" s="5"/>
    </row>
    <row r="518" spans="1:28">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c r="AA518" s="5"/>
      <c r="AB518" s="5"/>
    </row>
    <row r="519" spans="1:28">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c r="AA519" s="5"/>
      <c r="AB519" s="5"/>
    </row>
    <row r="520" spans="1:28">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c r="AA520" s="5"/>
      <c r="AB520" s="5"/>
    </row>
    <row r="521" spans="1:28">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c r="AA521" s="5"/>
      <c r="AB521" s="5"/>
    </row>
    <row r="522" spans="1:28">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c r="AA522" s="5"/>
      <c r="AB522" s="5"/>
    </row>
    <row r="523" spans="1:28">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c r="AA523" s="5"/>
      <c r="AB523" s="5"/>
    </row>
    <row r="524" spans="1:28">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c r="AA524" s="5"/>
      <c r="AB524" s="5"/>
    </row>
    <row r="525" spans="1:28">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c r="AA525" s="5"/>
      <c r="AB525" s="5"/>
    </row>
    <row r="526" spans="1:28">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c r="AA526" s="5"/>
      <c r="AB526" s="5"/>
    </row>
    <row r="527" spans="1:28">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c r="AA527" s="5"/>
      <c r="AB527" s="5"/>
    </row>
    <row r="528" spans="1:28">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c r="AA528" s="5"/>
      <c r="AB528" s="5"/>
    </row>
    <row r="529" spans="1:28">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c r="AA529" s="5"/>
      <c r="AB529" s="5"/>
    </row>
    <row r="530" spans="1:28">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c r="AA530" s="5"/>
      <c r="AB530" s="5"/>
    </row>
    <row r="531" spans="1:28">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c r="AA531" s="5"/>
      <c r="AB531" s="5"/>
    </row>
    <row r="532" spans="1:28">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c r="AA532" s="5"/>
      <c r="AB532" s="5"/>
    </row>
    <row r="533" spans="1:28">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c r="AA533" s="5"/>
      <c r="AB533" s="5"/>
    </row>
    <row r="534" spans="1:28">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c r="AA534" s="5"/>
      <c r="AB534" s="5"/>
    </row>
    <row r="535" spans="1:28">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c r="AA535" s="5"/>
      <c r="AB535" s="5"/>
    </row>
    <row r="536" spans="1:28">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c r="AA536" s="5"/>
      <c r="AB536" s="5"/>
    </row>
    <row r="537" spans="1:28">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c r="AA537" s="5"/>
      <c r="AB537" s="5"/>
    </row>
    <row r="538" spans="1:28">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c r="AA538" s="5"/>
      <c r="AB538" s="5"/>
    </row>
    <row r="539" spans="1:28">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c r="AA539" s="5"/>
      <c r="AB539" s="5"/>
    </row>
    <row r="540" spans="1:28">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c r="AA540" s="5"/>
      <c r="AB540" s="5"/>
    </row>
    <row r="541" spans="1:28">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c r="AA541" s="5"/>
      <c r="AB541" s="5"/>
    </row>
    <row r="542" spans="1:28">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c r="AA542" s="5"/>
      <c r="AB542" s="5"/>
    </row>
    <row r="543" spans="1:28">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c r="AA543" s="5"/>
      <c r="AB543" s="5"/>
    </row>
    <row r="544" spans="1:28">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c r="AA544" s="5"/>
      <c r="AB544" s="5"/>
    </row>
    <row r="545" spans="1:28">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c r="AA545" s="5"/>
      <c r="AB545" s="5"/>
    </row>
    <row r="546" spans="1:28">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c r="AA546" s="5"/>
      <c r="AB546" s="5"/>
    </row>
    <row r="547" spans="1:28">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c r="AA547" s="5"/>
      <c r="AB547" s="5"/>
    </row>
    <row r="548" spans="1:28">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c r="AA548" s="5"/>
      <c r="AB548" s="5"/>
    </row>
    <row r="549" spans="1:28">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c r="AA549" s="5"/>
      <c r="AB549" s="5"/>
    </row>
    <row r="550" spans="1:28">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c r="AA550" s="5"/>
      <c r="AB550" s="5"/>
    </row>
    <row r="551" spans="1:28">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c r="AA551" s="5"/>
      <c r="AB551" s="5"/>
    </row>
    <row r="552" spans="1:28">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c r="AA552" s="5"/>
      <c r="AB552" s="5"/>
    </row>
    <row r="553" spans="1:28">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c r="AA553" s="5"/>
      <c r="AB553" s="5"/>
    </row>
    <row r="554" spans="1:28">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c r="AA554" s="5"/>
      <c r="AB554" s="5"/>
    </row>
    <row r="555" spans="1:28">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c r="AA555" s="5"/>
      <c r="AB555" s="5"/>
    </row>
    <row r="556" spans="1:28">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c r="AA556" s="5"/>
      <c r="AB556" s="5"/>
    </row>
    <row r="557" spans="1:28">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c r="AA557" s="5"/>
      <c r="AB557" s="5"/>
    </row>
    <row r="558" spans="1:28">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c r="AA558" s="5"/>
      <c r="AB558" s="5"/>
    </row>
    <row r="559" spans="1:28">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c r="AA559" s="5"/>
      <c r="AB559" s="5"/>
    </row>
    <row r="560" spans="1:28">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c r="AA560" s="5"/>
      <c r="AB560" s="5"/>
    </row>
    <row r="561" spans="1:28">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c r="AA561" s="5"/>
      <c r="AB561" s="5"/>
    </row>
    <row r="562" spans="1:28">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c r="AA562" s="5"/>
      <c r="AB562" s="5"/>
    </row>
    <row r="563" spans="1:28">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c r="AA563" s="5"/>
      <c r="AB563" s="5"/>
    </row>
    <row r="564" spans="1:28">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c r="AA564" s="5"/>
      <c r="AB564" s="5"/>
    </row>
    <row r="565" spans="1:28">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c r="AA565" s="5"/>
      <c r="AB565" s="5"/>
    </row>
    <row r="566" spans="1:28">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c r="AA566" s="5"/>
      <c r="AB566" s="5"/>
    </row>
    <row r="567" spans="1:28">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c r="AA567" s="5"/>
      <c r="AB567" s="5"/>
    </row>
    <row r="568" spans="1:28">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c r="AA568" s="5"/>
      <c r="AB568" s="5"/>
    </row>
    <row r="569" spans="1:28">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c r="AA569" s="5"/>
      <c r="AB569" s="5"/>
    </row>
    <row r="570" spans="1:28">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c r="AA570" s="5"/>
      <c r="AB570" s="5"/>
    </row>
    <row r="571" spans="1:28">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c r="AA571" s="5"/>
      <c r="AB571" s="5"/>
    </row>
    <row r="572" spans="1:28">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c r="AA572" s="5"/>
      <c r="AB572" s="5"/>
    </row>
    <row r="573" spans="1:28">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c r="AA573" s="5"/>
      <c r="AB573" s="5"/>
    </row>
    <row r="574" spans="1:28">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c r="AA574" s="5"/>
      <c r="AB574" s="5"/>
    </row>
    <row r="575" spans="1:28">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c r="AA575" s="5"/>
      <c r="AB575" s="5"/>
    </row>
    <row r="576" spans="1:28">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c r="AA576" s="5"/>
      <c r="AB576" s="5"/>
    </row>
    <row r="577" spans="1:28">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c r="AA577" s="5"/>
      <c r="AB577" s="5"/>
    </row>
    <row r="578" spans="1:28">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c r="AA578" s="5"/>
      <c r="AB578" s="5"/>
    </row>
    <row r="579" spans="1:28">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c r="AA579" s="5"/>
      <c r="AB579" s="5"/>
    </row>
    <row r="580" spans="1:28">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c r="AA580" s="5"/>
      <c r="AB580" s="5"/>
    </row>
    <row r="581" spans="1:28">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c r="AA581" s="5"/>
      <c r="AB581" s="5"/>
    </row>
    <row r="582" spans="1:28">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c r="AA582" s="5"/>
      <c r="AB582" s="5"/>
    </row>
    <row r="583" spans="1:28">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c r="AA583" s="5"/>
      <c r="AB583" s="5"/>
    </row>
    <row r="584" spans="1:28">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c r="AA584" s="5"/>
      <c r="AB584" s="5"/>
    </row>
    <row r="585" spans="1:28">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c r="AA585" s="5"/>
      <c r="AB585" s="5"/>
    </row>
    <row r="586" spans="1:28">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c r="AA586" s="5"/>
      <c r="AB586" s="5"/>
    </row>
    <row r="587" spans="1:28">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c r="AA587" s="5"/>
      <c r="AB587" s="5"/>
    </row>
    <row r="588" spans="1:28">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c r="AA588" s="5"/>
      <c r="AB588" s="5"/>
    </row>
    <row r="589" spans="1:28">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c r="AA589" s="5"/>
      <c r="AB589" s="5"/>
    </row>
    <row r="590" spans="1:28">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c r="AA590" s="5"/>
      <c r="AB590" s="5"/>
    </row>
    <row r="591" spans="1:28">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c r="AA591" s="5"/>
      <c r="AB591" s="5"/>
    </row>
    <row r="592" spans="1:28">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c r="AA592" s="5"/>
      <c r="AB592" s="5"/>
    </row>
    <row r="593" spans="1:28">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c r="AA593" s="5"/>
      <c r="AB593" s="5"/>
    </row>
    <row r="594" spans="1:28">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c r="AA594" s="5"/>
      <c r="AB594" s="5"/>
    </row>
    <row r="595" spans="1:28">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c r="AA595" s="5"/>
      <c r="AB595" s="5"/>
    </row>
    <row r="596" spans="1:28">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c r="AA596" s="5"/>
      <c r="AB596" s="5"/>
    </row>
    <row r="597" spans="1:28">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c r="AA597" s="5"/>
      <c r="AB597" s="5"/>
    </row>
    <row r="598" spans="1:28">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c r="AA598" s="5"/>
      <c r="AB598" s="5"/>
    </row>
    <row r="599" spans="1:28">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c r="AA599" s="5"/>
      <c r="AB599" s="5"/>
    </row>
    <row r="600" spans="1:28">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c r="AA600" s="5"/>
      <c r="AB600" s="5"/>
    </row>
    <row r="601" spans="1:28">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c r="AA601" s="5"/>
      <c r="AB601" s="5"/>
    </row>
    <row r="602" spans="1:28">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c r="AA602" s="5"/>
      <c r="AB602" s="5"/>
    </row>
    <row r="603" spans="1:28">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c r="AA603" s="5"/>
      <c r="AB603" s="5"/>
    </row>
    <row r="604" spans="1:28">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c r="AA604" s="5"/>
      <c r="AB604" s="5"/>
    </row>
    <row r="605" spans="1:28">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c r="AA605" s="5"/>
      <c r="AB605" s="5"/>
    </row>
    <row r="606" spans="1:28">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c r="AA606" s="5"/>
      <c r="AB606" s="5"/>
    </row>
    <row r="607" spans="1:28">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c r="AA607" s="5"/>
      <c r="AB607" s="5"/>
    </row>
    <row r="608" spans="1:28">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c r="AA608" s="5"/>
      <c r="AB608" s="5"/>
    </row>
    <row r="609" spans="1:28">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c r="AA609" s="5"/>
      <c r="AB609" s="5"/>
    </row>
    <row r="610" spans="1:28">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c r="AA610" s="5"/>
      <c r="AB610" s="5"/>
    </row>
    <row r="611" spans="1:28">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c r="AA611" s="5"/>
      <c r="AB611" s="5"/>
    </row>
    <row r="612" spans="1:28">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c r="AA612" s="5"/>
      <c r="AB612" s="5"/>
    </row>
    <row r="613" spans="1:28">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c r="AA613" s="5"/>
      <c r="AB613" s="5"/>
    </row>
    <row r="614" spans="1:28">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c r="AA614" s="5"/>
      <c r="AB614" s="5"/>
    </row>
    <row r="615" spans="1:28">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c r="AA615" s="5"/>
      <c r="AB615" s="5"/>
    </row>
    <row r="616" spans="1:28">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c r="AA616" s="5"/>
      <c r="AB616" s="5"/>
    </row>
    <row r="617" spans="1:28">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c r="AA617" s="5"/>
      <c r="AB617" s="5"/>
    </row>
    <row r="618" spans="1:28">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c r="AA618" s="5"/>
      <c r="AB618" s="5"/>
    </row>
    <row r="619" spans="1:28">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c r="AA619" s="5"/>
      <c r="AB619" s="5"/>
    </row>
    <row r="620" spans="1:28">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c r="AA620" s="5"/>
      <c r="AB620" s="5"/>
    </row>
    <row r="621" spans="1:28">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c r="AA621" s="5"/>
      <c r="AB621" s="5"/>
    </row>
    <row r="622" spans="1:28">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c r="AA622" s="5"/>
      <c r="AB622" s="5"/>
    </row>
    <row r="623" spans="1:28">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c r="AA623" s="5"/>
      <c r="AB623" s="5"/>
    </row>
    <row r="624" spans="1:28">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c r="AA624" s="5"/>
      <c r="AB624" s="5"/>
    </row>
    <row r="625" spans="1:28">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c r="AA625" s="5"/>
      <c r="AB625" s="5"/>
    </row>
    <row r="626" spans="1:28">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c r="AA626" s="5"/>
      <c r="AB626" s="5"/>
    </row>
    <row r="627" spans="1:28">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c r="AA627" s="5"/>
      <c r="AB627" s="5"/>
    </row>
    <row r="628" spans="1:28">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c r="AA628" s="5"/>
      <c r="AB628" s="5"/>
    </row>
    <row r="629" spans="1:28">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c r="AA629" s="5"/>
      <c r="AB629" s="5"/>
    </row>
    <row r="630" spans="1:28">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c r="AA630" s="5"/>
      <c r="AB630" s="5"/>
    </row>
    <row r="631" spans="1:28">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c r="AA631" s="5"/>
      <c r="AB631" s="5"/>
    </row>
    <row r="632" spans="1:28">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c r="AA632" s="5"/>
      <c r="AB632" s="5"/>
    </row>
    <row r="633" spans="1:28">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c r="AA633" s="5"/>
      <c r="AB633" s="5"/>
    </row>
    <row r="634" spans="1:28">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c r="AA634" s="5"/>
      <c r="AB634" s="5"/>
    </row>
    <row r="635" spans="1:28">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c r="AA635" s="5"/>
      <c r="AB635" s="5"/>
    </row>
    <row r="636" spans="1:28">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c r="AA636" s="5"/>
      <c r="AB636" s="5"/>
    </row>
    <row r="637" spans="1:28">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c r="AA637" s="5"/>
      <c r="AB637" s="5"/>
    </row>
    <row r="638" spans="1:28">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c r="AA638" s="5"/>
      <c r="AB638" s="5"/>
    </row>
    <row r="639" spans="1:28">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c r="AA639" s="5"/>
      <c r="AB639" s="5"/>
    </row>
    <row r="640" spans="1:28">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c r="AA640" s="5"/>
      <c r="AB640" s="5"/>
    </row>
    <row r="641" spans="1:28">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c r="AA641" s="5"/>
      <c r="AB641" s="5"/>
    </row>
    <row r="642" spans="1:28">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c r="AA642" s="5"/>
      <c r="AB642" s="5"/>
    </row>
    <row r="643" spans="1:28">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c r="AA643" s="5"/>
      <c r="AB643" s="5"/>
    </row>
    <row r="644" spans="1:28">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c r="AA644" s="5"/>
      <c r="AB644" s="5"/>
    </row>
    <row r="645" spans="1:28">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c r="AA645" s="5"/>
      <c r="AB645" s="5"/>
    </row>
    <row r="646" spans="1:28">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c r="AA646" s="5"/>
      <c r="AB646" s="5"/>
    </row>
    <row r="647" spans="1:28">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c r="AA647" s="5"/>
      <c r="AB647" s="5"/>
    </row>
    <row r="648" spans="1:28">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c r="AA648" s="5"/>
      <c r="AB648" s="5"/>
    </row>
    <row r="649" spans="1:28">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c r="AA649" s="5"/>
      <c r="AB649" s="5"/>
    </row>
    <row r="650" spans="1:28">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c r="AA650" s="5"/>
      <c r="AB650" s="5"/>
    </row>
    <row r="651" spans="1:28">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c r="AA651" s="5"/>
      <c r="AB651" s="5"/>
    </row>
    <row r="652" spans="1:28">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c r="AA652" s="5"/>
      <c r="AB652" s="5"/>
    </row>
    <row r="653" spans="1:28">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c r="AA653" s="5"/>
      <c r="AB653" s="5"/>
    </row>
    <row r="654" spans="1:28">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c r="AA654" s="5"/>
      <c r="AB654" s="5"/>
    </row>
    <row r="655" spans="1:28">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c r="AA655" s="5"/>
      <c r="AB655" s="5"/>
    </row>
    <row r="656" spans="1:28">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c r="AA656" s="5"/>
      <c r="AB656" s="5"/>
    </row>
    <row r="657" spans="1:28">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c r="AA657" s="5"/>
      <c r="AB657" s="5"/>
    </row>
    <row r="658" spans="1:28">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c r="AA658" s="5"/>
      <c r="AB658" s="5"/>
    </row>
    <row r="659" spans="1:28">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c r="AA659" s="5"/>
      <c r="AB659" s="5"/>
    </row>
    <row r="660" spans="1:28">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c r="AA660" s="5"/>
      <c r="AB660" s="5"/>
    </row>
    <row r="661" spans="1:28">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c r="AA661" s="5"/>
      <c r="AB661" s="5"/>
    </row>
    <row r="662" spans="1:28">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c r="AA662" s="5"/>
      <c r="AB662" s="5"/>
    </row>
    <row r="663" spans="1:28">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c r="AA663" s="5"/>
      <c r="AB663" s="5"/>
    </row>
    <row r="664" spans="1:28">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c r="AA664" s="5"/>
      <c r="AB664" s="5"/>
    </row>
    <row r="665" spans="1:28">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c r="AA665" s="5"/>
      <c r="AB665" s="5"/>
    </row>
    <row r="666" spans="1:28">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c r="AA666" s="5"/>
      <c r="AB666" s="5"/>
    </row>
    <row r="667" spans="1:28">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c r="AA667" s="5"/>
      <c r="AB667" s="5"/>
    </row>
    <row r="668" spans="1:28">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c r="AA668" s="5"/>
      <c r="AB668" s="5"/>
    </row>
    <row r="669" spans="1:28">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c r="AA669" s="5"/>
      <c r="AB669" s="5"/>
    </row>
    <row r="670" spans="1:28">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c r="AA670" s="5"/>
      <c r="AB670" s="5"/>
    </row>
    <row r="671" spans="1:28">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c r="AA671" s="5"/>
      <c r="AB671" s="5"/>
    </row>
    <row r="672" spans="1:28">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c r="AA672" s="5"/>
      <c r="AB672" s="5"/>
    </row>
    <row r="673" spans="1:28">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c r="AA673" s="5"/>
      <c r="AB673" s="5"/>
    </row>
    <row r="674" spans="1:28">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c r="AA674" s="5"/>
      <c r="AB674" s="5"/>
    </row>
    <row r="675" spans="1:28">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c r="AA675" s="5"/>
      <c r="AB675" s="5"/>
    </row>
    <row r="676" spans="1:28">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c r="AA676" s="5"/>
      <c r="AB676" s="5"/>
    </row>
    <row r="677" spans="1:28">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c r="AA677" s="5"/>
      <c r="AB677" s="5"/>
    </row>
    <row r="678" spans="1:28">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c r="AA678" s="5"/>
      <c r="AB678" s="5"/>
    </row>
    <row r="679" spans="1:28">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c r="AA679" s="5"/>
      <c r="AB679" s="5"/>
    </row>
    <row r="680" spans="1:28">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c r="AA680" s="5"/>
      <c r="AB680" s="5"/>
    </row>
    <row r="681" spans="1:28">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c r="AA681" s="5"/>
      <c r="AB681" s="5"/>
    </row>
    <row r="682" spans="1:28">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c r="AA682" s="5"/>
      <c r="AB682" s="5"/>
    </row>
    <row r="683" spans="1:28">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c r="AA683" s="5"/>
      <c r="AB683" s="5"/>
    </row>
    <row r="684" spans="1:28">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c r="AA684" s="5"/>
      <c r="AB684" s="5"/>
    </row>
    <row r="685" spans="1:28">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c r="AA685" s="5"/>
      <c r="AB685" s="5"/>
    </row>
    <row r="686" spans="1:28">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c r="AA686" s="5"/>
      <c r="AB686" s="5"/>
    </row>
    <row r="687" spans="1:28">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c r="AA687" s="5"/>
      <c r="AB687" s="5"/>
    </row>
    <row r="688" spans="1:28">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c r="AA688" s="5"/>
      <c r="AB688" s="5"/>
    </row>
    <row r="689" spans="1:28">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c r="AA689" s="5"/>
      <c r="AB689" s="5"/>
    </row>
    <row r="690" spans="1:28">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c r="AA690" s="5"/>
      <c r="AB690" s="5"/>
    </row>
    <row r="691" spans="1:28">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c r="AA691" s="5"/>
      <c r="AB691" s="5"/>
    </row>
    <row r="692" spans="1:28">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c r="AA692" s="5"/>
      <c r="AB692" s="5"/>
    </row>
    <row r="693" spans="1:28">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c r="AA693" s="5"/>
      <c r="AB693" s="5"/>
    </row>
    <row r="694" spans="1:28">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c r="AA694" s="5"/>
      <c r="AB694" s="5"/>
    </row>
    <row r="695" spans="1:28">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c r="AA695" s="5"/>
      <c r="AB695" s="5"/>
    </row>
    <row r="696" spans="1:28">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c r="AA696" s="5"/>
      <c r="AB696" s="5"/>
    </row>
    <row r="697" spans="1:28">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c r="AA697" s="5"/>
      <c r="AB697" s="5"/>
    </row>
    <row r="698" spans="1:28">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c r="AA698" s="5"/>
      <c r="AB698" s="5"/>
    </row>
    <row r="699" spans="1:28">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c r="AA699" s="5"/>
      <c r="AB699" s="5"/>
    </row>
    <row r="700" spans="1:28">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c r="AA700" s="5"/>
      <c r="AB700" s="5"/>
    </row>
    <row r="701" spans="1:28">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c r="AA701" s="5"/>
      <c r="AB701" s="5"/>
    </row>
    <row r="702" spans="1:28">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c r="AA702" s="5"/>
      <c r="AB702" s="5"/>
    </row>
    <row r="703" spans="1:28">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c r="AA703" s="5"/>
      <c r="AB703" s="5"/>
    </row>
    <row r="704" spans="1:28">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c r="AA704" s="5"/>
      <c r="AB704" s="5"/>
    </row>
    <row r="705" spans="1:28">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c r="AA705" s="5"/>
      <c r="AB705" s="5"/>
    </row>
    <row r="706" spans="1:28">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c r="AA706" s="5"/>
      <c r="AB706" s="5"/>
    </row>
    <row r="707" spans="1:28">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c r="AA707" s="5"/>
      <c r="AB707" s="5"/>
    </row>
    <row r="708" spans="1:28">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c r="AA708" s="5"/>
      <c r="AB708" s="5"/>
    </row>
    <row r="709" spans="1:28">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c r="AA709" s="5"/>
      <c r="AB709" s="5"/>
    </row>
    <row r="710" spans="1:28">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c r="AA710" s="5"/>
      <c r="AB710" s="5"/>
    </row>
    <row r="711" spans="1:28">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c r="AA711" s="5"/>
      <c r="AB711" s="5"/>
    </row>
    <row r="712" spans="1:28">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c r="AA712" s="5"/>
      <c r="AB712" s="5"/>
    </row>
    <row r="713" spans="1:28">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c r="AA713" s="5"/>
      <c r="AB713" s="5"/>
    </row>
    <row r="714" spans="1:28">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c r="AA714" s="5"/>
      <c r="AB714" s="5"/>
    </row>
    <row r="715" spans="1:28">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c r="AA715" s="5"/>
      <c r="AB715" s="5"/>
    </row>
    <row r="716" spans="1:28">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c r="AA716" s="5"/>
      <c r="AB716" s="5"/>
    </row>
    <row r="717" spans="1:28">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c r="AA717" s="5"/>
      <c r="AB717" s="5"/>
    </row>
    <row r="718" spans="1:28">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c r="AA718" s="5"/>
      <c r="AB718" s="5"/>
    </row>
    <row r="719" spans="1:28">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c r="AA719" s="5"/>
      <c r="AB719" s="5"/>
    </row>
    <row r="720" spans="1:28">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c r="AA720" s="5"/>
      <c r="AB720" s="5"/>
    </row>
    <row r="721" spans="1:28">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c r="AA721" s="5"/>
      <c r="AB721" s="5"/>
    </row>
    <row r="722" spans="1:28">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c r="AA722" s="5"/>
      <c r="AB722" s="5"/>
    </row>
    <row r="723" spans="1:28">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c r="AA723" s="5"/>
      <c r="AB723" s="5"/>
    </row>
    <row r="724" spans="1:28">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c r="AA724" s="5"/>
      <c r="AB724" s="5"/>
    </row>
    <row r="725" spans="1:28">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c r="AA725" s="5"/>
      <c r="AB725" s="5"/>
    </row>
    <row r="726" spans="1:28">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c r="AA726" s="5"/>
      <c r="AB726" s="5"/>
    </row>
    <row r="727" spans="1:28">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c r="AA727" s="5"/>
      <c r="AB727" s="5"/>
    </row>
    <row r="728" spans="1:28">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c r="AA728" s="5"/>
      <c r="AB728" s="5"/>
    </row>
    <row r="729" spans="1:28">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c r="AA729" s="5"/>
      <c r="AB729" s="5"/>
    </row>
    <row r="730" spans="1:28">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c r="AA730" s="5"/>
      <c r="AB730" s="5"/>
    </row>
    <row r="731" spans="1:28">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c r="AA731" s="5"/>
      <c r="AB731" s="5"/>
    </row>
    <row r="732" spans="1:28">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c r="AA732" s="5"/>
      <c r="AB732" s="5"/>
    </row>
    <row r="733" spans="1:28">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c r="AA733" s="5"/>
      <c r="AB733" s="5"/>
    </row>
    <row r="734" spans="1:28">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c r="AA734" s="5"/>
      <c r="AB734" s="5"/>
    </row>
    <row r="735" spans="1:28">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c r="AA735" s="5"/>
      <c r="AB735" s="5"/>
    </row>
    <row r="736" spans="1:28">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c r="AA736" s="5"/>
      <c r="AB736" s="5"/>
    </row>
    <row r="737" spans="1:28">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c r="AA737" s="5"/>
      <c r="AB737" s="5"/>
    </row>
    <row r="738" spans="1:28">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c r="AA738" s="5"/>
      <c r="AB738" s="5"/>
    </row>
    <row r="739" spans="1:28">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c r="AA739" s="5"/>
      <c r="AB739" s="5"/>
    </row>
    <row r="740" spans="1:28">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c r="AA740" s="5"/>
      <c r="AB740" s="5"/>
    </row>
    <row r="741" spans="1:28">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c r="AA741" s="5"/>
      <c r="AB741" s="5"/>
    </row>
    <row r="742" spans="1:28">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c r="AB742" s="5"/>
    </row>
    <row r="743" spans="1:28">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c r="AA743" s="5"/>
      <c r="AB743" s="5"/>
    </row>
    <row r="744" spans="1:28">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c r="AA744" s="5"/>
      <c r="AB744" s="5"/>
    </row>
    <row r="745" spans="1:28">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c r="AA745" s="5"/>
      <c r="AB745" s="5"/>
    </row>
    <row r="746" spans="1:28">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c r="AA746" s="5"/>
      <c r="AB746" s="5"/>
    </row>
    <row r="747" spans="1:28">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c r="AA747" s="5"/>
      <c r="AB747" s="5"/>
    </row>
    <row r="748" spans="1:28">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c r="AA748" s="5"/>
      <c r="AB748" s="5"/>
    </row>
    <row r="749" spans="1:28">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c r="AA749" s="5"/>
      <c r="AB749" s="5"/>
    </row>
    <row r="750" spans="1:28">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c r="AA750" s="5"/>
      <c r="AB750" s="5"/>
    </row>
    <row r="751" spans="1:28">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c r="AA751" s="5"/>
      <c r="AB751" s="5"/>
    </row>
    <row r="752" spans="1:28">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c r="AA752" s="5"/>
      <c r="AB752" s="5"/>
    </row>
    <row r="753" spans="1:28">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c r="AA753" s="5"/>
      <c r="AB753" s="5"/>
    </row>
    <row r="754" spans="1:28">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c r="AA754" s="5"/>
      <c r="AB754" s="5"/>
    </row>
    <row r="755" spans="1:28">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c r="AA755" s="5"/>
      <c r="AB755" s="5"/>
    </row>
    <row r="756" spans="1:28">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c r="AA756" s="5"/>
      <c r="AB756" s="5"/>
    </row>
    <row r="757" spans="1:28">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c r="AA757" s="5"/>
      <c r="AB757" s="5"/>
    </row>
    <row r="758" spans="1:28">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c r="AA758" s="5"/>
      <c r="AB758" s="5"/>
    </row>
    <row r="759" spans="1:28">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c r="AA759" s="5"/>
      <c r="AB759" s="5"/>
    </row>
    <row r="760" spans="1:28">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c r="AA760" s="5"/>
      <c r="AB760" s="5"/>
    </row>
    <row r="761" spans="1:28">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c r="AA761" s="5"/>
      <c r="AB761" s="5"/>
    </row>
    <row r="762" spans="1:28">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c r="AA762" s="5"/>
      <c r="AB762" s="5"/>
    </row>
    <row r="763" spans="1:28">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c r="AA763" s="5"/>
      <c r="AB763" s="5"/>
    </row>
    <row r="764" spans="1:28">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c r="AA764" s="5"/>
      <c r="AB764" s="5"/>
    </row>
    <row r="765" spans="1:28">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c r="AA765" s="5"/>
      <c r="AB765" s="5"/>
    </row>
    <row r="766" spans="1:28">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c r="AA766" s="5"/>
      <c r="AB766" s="5"/>
    </row>
    <row r="767" spans="1:28">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c r="AA767" s="5"/>
      <c r="AB767" s="5"/>
    </row>
    <row r="768" spans="1:28">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c r="AA768" s="5"/>
      <c r="AB768" s="5"/>
    </row>
    <row r="769" spans="1:28">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c r="AA769" s="5"/>
      <c r="AB769" s="5"/>
    </row>
    <row r="770" spans="1:28">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c r="AA770" s="5"/>
      <c r="AB770" s="5"/>
    </row>
    <row r="771" spans="1:28">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c r="AA771" s="5"/>
      <c r="AB771" s="5"/>
    </row>
    <row r="772" spans="1:28">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c r="AA772" s="5"/>
      <c r="AB772" s="5"/>
    </row>
    <row r="773" spans="1:28">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c r="AA773" s="5"/>
      <c r="AB773" s="5"/>
    </row>
    <row r="774" spans="1:28">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c r="AA774" s="5"/>
      <c r="AB774" s="5"/>
    </row>
    <row r="775" spans="1:28">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c r="AA775" s="5"/>
      <c r="AB775" s="5"/>
    </row>
    <row r="776" spans="1:28">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c r="AA776" s="5"/>
      <c r="AB776" s="5"/>
    </row>
    <row r="777" spans="1:28">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c r="AA777" s="5"/>
      <c r="AB777" s="5"/>
    </row>
    <row r="778" spans="1:28">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c r="AA778" s="5"/>
      <c r="AB778" s="5"/>
    </row>
    <row r="779" spans="1:28">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c r="AA779" s="5"/>
      <c r="AB779" s="5"/>
    </row>
    <row r="780" spans="1:28">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c r="AA780" s="5"/>
      <c r="AB780" s="5"/>
    </row>
    <row r="781" spans="1:28">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c r="AA781" s="5"/>
      <c r="AB781" s="5"/>
    </row>
    <row r="782" spans="1:28">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c r="AA782" s="5"/>
      <c r="AB782" s="5"/>
    </row>
    <row r="783" spans="1:28">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c r="AA783" s="5"/>
      <c r="AB783" s="5"/>
    </row>
    <row r="784" spans="1:28">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c r="AA784" s="5"/>
      <c r="AB784" s="5"/>
    </row>
    <row r="785" spans="1:28">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c r="AA785" s="5"/>
      <c r="AB785" s="5"/>
    </row>
    <row r="786" spans="1:28">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c r="AA786" s="5"/>
      <c r="AB786" s="5"/>
    </row>
    <row r="787" spans="1:28">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c r="AA787" s="5"/>
      <c r="AB787" s="5"/>
    </row>
    <row r="788" spans="1:28">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c r="AA788" s="5"/>
      <c r="AB788" s="5"/>
    </row>
    <row r="789" spans="1:28">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c r="AA789" s="5"/>
      <c r="AB789" s="5"/>
    </row>
    <row r="790" spans="1:28">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c r="AA790" s="5"/>
      <c r="AB790" s="5"/>
    </row>
    <row r="791" spans="1:28">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c r="AA791" s="5"/>
      <c r="AB791" s="5"/>
    </row>
    <row r="792" spans="1:28">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c r="AA792" s="5"/>
      <c r="AB792" s="5"/>
    </row>
    <row r="793" spans="1:28">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c r="AA793" s="5"/>
      <c r="AB793" s="5"/>
    </row>
    <row r="794" spans="1:28">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c r="AA794" s="5"/>
      <c r="AB794" s="5"/>
    </row>
    <row r="795" spans="1:28">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c r="AA795" s="5"/>
      <c r="AB795" s="5"/>
    </row>
    <row r="796" spans="1:28">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c r="AA796" s="5"/>
      <c r="AB796" s="5"/>
    </row>
    <row r="797" spans="1:28">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c r="AA797" s="5"/>
      <c r="AB797" s="5"/>
    </row>
    <row r="798" spans="1:28">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c r="AA798" s="5"/>
      <c r="AB798" s="5"/>
    </row>
    <row r="799" spans="1:28">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c r="AA799" s="5"/>
      <c r="AB799" s="5"/>
    </row>
    <row r="800" spans="1:28">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c r="AA800" s="5"/>
      <c r="AB800" s="5"/>
    </row>
    <row r="801" spans="1:28">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c r="AA801" s="5"/>
      <c r="AB801" s="5"/>
    </row>
    <row r="802" spans="1:28">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c r="AA802" s="5"/>
      <c r="AB802" s="5"/>
    </row>
    <row r="803" spans="1:28">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c r="AA803" s="5"/>
      <c r="AB803" s="5"/>
    </row>
    <row r="804" spans="1:28">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c r="AA804" s="5"/>
      <c r="AB804" s="5"/>
    </row>
    <row r="805" spans="1:28">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c r="AA805" s="5"/>
      <c r="AB805" s="5"/>
    </row>
    <row r="806" spans="1:28">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c r="AA806" s="5"/>
      <c r="AB806" s="5"/>
    </row>
    <row r="807" spans="1:28">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c r="AA807" s="5"/>
      <c r="AB807" s="5"/>
    </row>
    <row r="808" spans="1:28">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c r="AA808" s="5"/>
      <c r="AB808" s="5"/>
    </row>
    <row r="809" spans="1:28">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c r="AA809" s="5"/>
      <c r="AB809" s="5"/>
    </row>
    <row r="810" spans="1:28">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c r="AA810" s="5"/>
      <c r="AB810" s="5"/>
    </row>
    <row r="811" spans="1:28">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c r="AA811" s="5"/>
      <c r="AB811" s="5"/>
    </row>
    <row r="812" spans="1:28">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c r="AA812" s="5"/>
      <c r="AB812" s="5"/>
    </row>
    <row r="813" spans="1:28">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c r="AA813" s="5"/>
      <c r="AB813" s="5"/>
    </row>
    <row r="814" spans="1:28">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c r="AA814" s="5"/>
      <c r="AB814" s="5"/>
    </row>
    <row r="815" spans="1:28">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c r="AA815" s="5"/>
      <c r="AB815" s="5"/>
    </row>
    <row r="816" spans="1:28">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c r="AA816" s="5"/>
      <c r="AB816" s="5"/>
    </row>
    <row r="817" spans="1:28">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c r="AA817" s="5"/>
      <c r="AB817" s="5"/>
    </row>
    <row r="818" spans="1:28">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c r="AA818" s="5"/>
      <c r="AB818" s="5"/>
    </row>
    <row r="819" spans="1:28">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c r="AA819" s="5"/>
      <c r="AB819" s="5"/>
    </row>
    <row r="820" spans="1:28">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c r="AA820" s="5"/>
      <c r="AB820" s="5"/>
    </row>
    <row r="821" spans="1:28">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c r="AA821" s="5"/>
      <c r="AB821" s="5"/>
    </row>
    <row r="822" spans="1:28">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c r="AA822" s="5"/>
      <c r="AB822" s="5"/>
    </row>
    <row r="823" spans="1:28">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c r="AA823" s="5"/>
      <c r="AB823" s="5"/>
    </row>
    <row r="824" spans="1:28">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c r="AA824" s="5"/>
      <c r="AB824" s="5"/>
    </row>
    <row r="825" spans="1:28">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c r="AA825" s="5"/>
      <c r="AB825" s="5"/>
    </row>
    <row r="826" spans="1:28">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c r="AA826" s="5"/>
      <c r="AB826" s="5"/>
    </row>
    <row r="827" spans="1:28">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c r="AA827" s="5"/>
      <c r="AB827" s="5"/>
    </row>
    <row r="828" spans="1:28">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c r="AA828" s="5"/>
      <c r="AB828" s="5"/>
    </row>
    <row r="829" spans="1:28">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c r="AA829" s="5"/>
      <c r="AB829" s="5"/>
    </row>
    <row r="830" spans="1:28">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c r="AA830" s="5"/>
      <c r="AB830" s="5"/>
    </row>
    <row r="831" spans="1:28">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c r="AA831" s="5"/>
      <c r="AB831" s="5"/>
    </row>
    <row r="832" spans="1:28">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c r="AA832" s="5"/>
      <c r="AB832" s="5"/>
    </row>
    <row r="833" spans="1:28">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c r="AA833" s="5"/>
      <c r="AB833" s="5"/>
    </row>
    <row r="834" spans="1:28">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c r="AA834" s="5"/>
      <c r="AB834" s="5"/>
    </row>
    <row r="835" spans="1:28">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c r="AA835" s="5"/>
      <c r="AB835" s="5"/>
    </row>
    <row r="836" spans="1:28">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c r="AA836" s="5"/>
      <c r="AB836" s="5"/>
    </row>
    <row r="837" spans="1:28">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c r="AA837" s="5"/>
      <c r="AB837" s="5"/>
    </row>
    <row r="838" spans="1:28">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c r="AA838" s="5"/>
      <c r="AB838" s="5"/>
    </row>
    <row r="839" spans="1:28">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c r="AA839" s="5"/>
      <c r="AB839" s="5"/>
    </row>
    <row r="840" spans="1:28">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c r="AA840" s="5"/>
      <c r="AB840" s="5"/>
    </row>
    <row r="841" spans="1:28">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c r="AA841" s="5"/>
      <c r="AB841" s="5"/>
    </row>
    <row r="842" spans="1:28">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c r="AA842" s="5"/>
      <c r="AB842" s="5"/>
    </row>
    <row r="843" spans="1:28">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c r="AA843" s="5"/>
      <c r="AB843" s="5"/>
    </row>
    <row r="844" spans="1:28">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c r="AA844" s="5"/>
      <c r="AB844" s="5"/>
    </row>
    <row r="845" spans="1:28">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c r="AA845" s="5"/>
      <c r="AB845" s="5"/>
    </row>
    <row r="846" spans="1:28">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c r="AA846" s="5"/>
      <c r="AB846" s="5"/>
    </row>
    <row r="847" spans="1:28">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c r="AA847" s="5"/>
      <c r="AB847" s="5"/>
    </row>
    <row r="848" spans="1:28">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c r="AA848" s="5"/>
      <c r="AB848" s="5"/>
    </row>
    <row r="849" spans="1:28">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c r="AA849" s="5"/>
      <c r="AB849" s="5"/>
    </row>
    <row r="850" spans="1:28">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c r="AA850" s="5"/>
      <c r="AB850" s="5"/>
    </row>
    <row r="851" spans="1:28">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c r="AA851" s="5"/>
      <c r="AB851" s="5"/>
    </row>
    <row r="852" spans="1:28">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c r="AA852" s="5"/>
      <c r="AB852" s="5"/>
    </row>
    <row r="853" spans="1:28">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c r="AA853" s="5"/>
      <c r="AB853" s="5"/>
    </row>
    <row r="854" spans="1:28">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c r="AA854" s="5"/>
      <c r="AB854" s="5"/>
    </row>
    <row r="855" spans="1:28">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c r="AA855" s="5"/>
      <c r="AB855" s="5"/>
    </row>
    <row r="856" spans="1:28">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c r="AA856" s="5"/>
      <c r="AB856" s="5"/>
    </row>
    <row r="857" spans="1:28">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c r="AA857" s="5"/>
      <c r="AB857" s="5"/>
    </row>
    <row r="858" spans="1:28">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c r="AA858" s="5"/>
      <c r="AB858" s="5"/>
    </row>
    <row r="859" spans="1:28">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c r="AA859" s="5"/>
      <c r="AB859" s="5"/>
    </row>
    <row r="860" spans="1:28">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c r="AA860" s="5"/>
      <c r="AB860" s="5"/>
    </row>
    <row r="861" spans="1:28">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c r="AA861" s="5"/>
      <c r="AB861" s="5"/>
    </row>
    <row r="862" spans="1:28">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c r="AA862" s="5"/>
      <c r="AB862" s="5"/>
    </row>
    <row r="863" spans="1:28">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c r="AA863" s="5"/>
      <c r="AB863" s="5"/>
    </row>
    <row r="864" spans="1:28">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c r="AA864" s="5"/>
      <c r="AB864" s="5"/>
    </row>
    <row r="865" spans="1:28">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c r="AA865" s="5"/>
      <c r="AB865" s="5"/>
    </row>
    <row r="866" spans="1:28">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c r="AA866" s="5"/>
      <c r="AB866" s="5"/>
    </row>
    <row r="867" spans="1:28">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c r="AA867" s="5"/>
      <c r="AB867" s="5"/>
    </row>
    <row r="868" spans="1:28">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c r="AA868" s="5"/>
      <c r="AB868" s="5"/>
    </row>
    <row r="869" spans="1:28">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c r="AA869" s="5"/>
      <c r="AB869" s="5"/>
    </row>
    <row r="870" spans="1:28">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c r="AA870" s="5"/>
      <c r="AB870" s="5"/>
    </row>
    <row r="871" spans="1:28">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c r="AA871" s="5"/>
      <c r="AB871" s="5"/>
    </row>
    <row r="872" spans="1:28">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c r="AA872" s="5"/>
      <c r="AB872" s="5"/>
    </row>
    <row r="873" spans="1:28">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c r="AA873" s="5"/>
      <c r="AB873" s="5"/>
    </row>
    <row r="874" spans="1:28">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c r="AA874" s="5"/>
      <c r="AB874" s="5"/>
    </row>
    <row r="875" spans="1:28">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c r="AA875" s="5"/>
      <c r="AB875" s="5"/>
    </row>
    <row r="876" spans="1:28">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c r="AA876" s="5"/>
      <c r="AB876" s="5"/>
    </row>
    <row r="877" spans="1:28">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c r="AA877" s="5"/>
      <c r="AB877" s="5"/>
    </row>
    <row r="878" spans="1:28">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c r="AA878" s="5"/>
      <c r="AB878" s="5"/>
    </row>
    <row r="879" spans="1:28">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c r="AA879" s="5"/>
      <c r="AB879" s="5"/>
    </row>
    <row r="880" spans="1:28">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c r="AA880" s="5"/>
      <c r="AB880" s="5"/>
    </row>
    <row r="881" spans="1:28">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c r="AA881" s="5"/>
      <c r="AB881" s="5"/>
    </row>
    <row r="882" spans="1:28">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c r="AA882" s="5"/>
      <c r="AB882" s="5"/>
    </row>
    <row r="883" spans="1:28">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c r="AA883" s="5"/>
      <c r="AB883" s="5"/>
    </row>
    <row r="884" spans="1:28">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c r="AA884" s="5"/>
      <c r="AB884" s="5"/>
    </row>
    <row r="885" spans="1:28">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c r="AA885" s="5"/>
      <c r="AB885" s="5"/>
    </row>
    <row r="886" spans="1:28">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c r="AA886" s="5"/>
      <c r="AB886" s="5"/>
    </row>
    <row r="887" spans="1:28">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c r="AA887" s="5"/>
      <c r="AB887" s="5"/>
    </row>
    <row r="888" spans="1:28">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c r="AA888" s="5"/>
      <c r="AB888" s="5"/>
    </row>
    <row r="889" spans="1:28">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c r="AA889" s="5"/>
      <c r="AB889" s="5"/>
    </row>
    <row r="890" spans="1:28">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c r="AA890" s="5"/>
      <c r="AB890" s="5"/>
    </row>
    <row r="891" spans="1:28">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c r="AA891" s="5"/>
      <c r="AB891" s="5"/>
    </row>
    <row r="892" spans="1:28">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c r="AA892" s="5"/>
      <c r="AB892" s="5"/>
    </row>
    <row r="893" spans="1:28">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c r="AA893" s="5"/>
      <c r="AB893" s="5"/>
    </row>
    <row r="894" spans="1:28">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c r="AA894" s="5"/>
      <c r="AB894" s="5"/>
    </row>
    <row r="895" spans="1:28">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c r="AA895" s="5"/>
      <c r="AB895" s="5"/>
    </row>
    <row r="896" spans="1:28">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c r="AA896" s="5"/>
      <c r="AB896" s="5"/>
    </row>
    <row r="897" spans="1:28">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c r="AA897" s="5"/>
      <c r="AB897" s="5"/>
    </row>
    <row r="898" spans="1:28">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c r="AA898" s="5"/>
      <c r="AB898" s="5"/>
    </row>
    <row r="899" spans="1:28">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c r="AA899" s="5"/>
      <c r="AB899" s="5"/>
    </row>
    <row r="900" spans="1:28">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c r="AA900" s="5"/>
      <c r="AB900" s="5"/>
    </row>
    <row r="901" spans="1:28">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c r="AA901" s="5"/>
      <c r="AB901" s="5"/>
    </row>
    <row r="902" spans="1:28">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c r="AA902" s="5"/>
      <c r="AB902" s="5"/>
    </row>
    <row r="903" spans="1:28">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c r="AA903" s="5"/>
      <c r="AB903" s="5"/>
    </row>
    <row r="904" spans="1:28">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c r="AA904" s="5"/>
      <c r="AB904" s="5"/>
    </row>
    <row r="905" spans="1:28">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c r="AA905" s="5"/>
      <c r="AB905" s="5"/>
    </row>
    <row r="906" spans="1:28">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c r="AA906" s="5"/>
      <c r="AB906" s="5"/>
    </row>
    <row r="907" spans="1:28">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c r="AA907" s="5"/>
      <c r="AB907" s="5"/>
    </row>
    <row r="908" spans="1:28">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c r="AA908" s="5"/>
      <c r="AB908" s="5"/>
    </row>
    <row r="909" spans="1:28">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c r="AA909" s="5"/>
      <c r="AB909" s="5"/>
    </row>
    <row r="910" spans="1:28">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c r="AA910" s="5"/>
      <c r="AB910" s="5"/>
    </row>
    <row r="911" spans="1:28">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c r="AA911" s="5"/>
      <c r="AB911" s="5"/>
    </row>
    <row r="912" spans="1:28">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c r="AA912" s="5"/>
      <c r="AB912" s="5"/>
    </row>
    <row r="913" spans="1:28">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c r="AA913" s="5"/>
      <c r="AB913" s="5"/>
    </row>
    <row r="914" spans="1:28">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c r="AA914" s="5"/>
      <c r="AB914" s="5"/>
    </row>
    <row r="915" spans="1:28">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c r="AA915" s="5"/>
      <c r="AB915" s="5"/>
    </row>
    <row r="916" spans="1:28">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c r="AA916" s="5"/>
      <c r="AB916" s="5"/>
    </row>
    <row r="917" spans="1:28">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c r="AA917" s="5"/>
      <c r="AB917" s="5"/>
    </row>
    <row r="918" spans="1:28">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c r="AA918" s="5"/>
      <c r="AB918" s="5"/>
    </row>
    <row r="919" spans="1:28">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c r="AA919" s="5"/>
      <c r="AB919" s="5"/>
    </row>
    <row r="920" spans="1:28">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c r="AA920" s="5"/>
      <c r="AB920" s="5"/>
    </row>
    <row r="921" spans="1:28">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c r="AA921" s="5"/>
      <c r="AB921" s="5"/>
    </row>
    <row r="922" spans="1:28">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c r="AA922" s="5"/>
      <c r="AB922" s="5"/>
    </row>
    <row r="923" spans="1:28">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c r="AA923" s="5"/>
      <c r="AB923" s="5"/>
    </row>
    <row r="924" spans="1:28">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c r="AA924" s="5"/>
      <c r="AB924" s="5"/>
    </row>
    <row r="925" spans="1:28">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c r="AA925" s="5"/>
      <c r="AB925" s="5"/>
    </row>
    <row r="926" spans="1:28">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c r="AA926" s="5"/>
      <c r="AB926" s="5"/>
    </row>
    <row r="927" spans="1:28">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c r="AA927" s="5"/>
      <c r="AB927" s="5"/>
    </row>
    <row r="928" spans="1:28">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c r="AA928" s="5"/>
      <c r="AB928" s="5"/>
    </row>
    <row r="929" spans="1:28">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c r="AA929" s="5"/>
      <c r="AB929" s="5"/>
    </row>
    <row r="930" spans="1:28">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c r="AA930" s="5"/>
      <c r="AB930" s="5"/>
    </row>
    <row r="931" spans="1:28">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c r="AA931" s="5"/>
      <c r="AB931" s="5"/>
    </row>
    <row r="932" spans="1:28">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c r="AA932" s="5"/>
      <c r="AB932" s="5"/>
    </row>
    <row r="933" spans="1:28">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c r="AA933" s="5"/>
      <c r="AB933" s="5"/>
    </row>
    <row r="934" spans="1:28">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c r="AA934" s="5"/>
      <c r="AB934" s="5"/>
    </row>
    <row r="935" spans="1:28">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c r="AA935" s="5"/>
      <c r="AB935" s="5"/>
    </row>
    <row r="936" spans="1:28">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c r="AA936" s="5"/>
      <c r="AB936" s="5"/>
    </row>
    <row r="937" spans="1:28">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c r="AA937" s="5"/>
      <c r="AB937" s="5"/>
    </row>
    <row r="938" spans="1:28">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c r="AA938" s="5"/>
      <c r="AB938" s="5"/>
    </row>
    <row r="939" spans="1:28">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c r="AA939" s="5"/>
      <c r="AB939" s="5"/>
    </row>
    <row r="940" spans="1:28">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c r="AA940" s="5"/>
      <c r="AB940" s="5"/>
    </row>
    <row r="941" spans="1:28">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c r="AA941" s="5"/>
      <c r="AB941" s="5"/>
    </row>
    <row r="942" spans="1:28">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c r="AA942" s="5"/>
      <c r="AB942" s="5"/>
    </row>
    <row r="943" spans="1:28">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c r="AA943" s="5"/>
      <c r="AB943" s="5"/>
    </row>
    <row r="944" spans="1:28">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c r="AA944" s="5"/>
      <c r="AB944" s="5"/>
    </row>
    <row r="945" spans="1:28">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c r="AA945" s="5"/>
      <c r="AB945" s="5"/>
    </row>
    <row r="946" spans="1:28">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c r="AA946" s="5"/>
      <c r="AB946" s="5"/>
    </row>
    <row r="947" spans="1:28">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c r="AA947" s="5"/>
      <c r="AB947" s="5"/>
    </row>
    <row r="948" spans="1:28">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c r="AA948" s="5"/>
      <c r="AB948" s="5"/>
    </row>
    <row r="949" spans="1:28">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c r="AA949" s="5"/>
      <c r="AB949" s="5"/>
    </row>
    <row r="950" spans="1:28">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c r="AA950" s="5"/>
      <c r="AB950" s="5"/>
    </row>
    <row r="951" spans="1:28">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c r="AA951" s="5"/>
      <c r="AB951" s="5"/>
    </row>
    <row r="952" spans="1:28">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c r="AA952" s="5"/>
      <c r="AB952" s="5"/>
    </row>
    <row r="953" spans="1:28">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c r="AA953" s="5"/>
      <c r="AB953" s="5"/>
    </row>
    <row r="954" spans="1:28">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c r="AA954" s="5"/>
      <c r="AB954" s="5"/>
    </row>
    <row r="955" spans="1:28">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c r="AA955" s="5"/>
      <c r="AB955" s="5"/>
    </row>
    <row r="956" spans="1:28">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c r="AA956" s="5"/>
      <c r="AB956" s="5"/>
    </row>
    <row r="957" spans="1:28">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c r="AA957" s="5"/>
      <c r="AB957" s="5"/>
    </row>
    <row r="958" spans="1:28">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c r="AA958" s="5"/>
      <c r="AB958" s="5"/>
    </row>
    <row r="959" spans="1:28">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c r="AA959" s="5"/>
      <c r="AB959" s="5"/>
    </row>
    <row r="960" spans="1:28">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c r="AA960" s="5"/>
      <c r="AB960" s="5"/>
    </row>
    <row r="961" spans="1:28">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c r="AA961" s="5"/>
      <c r="AB961" s="5"/>
    </row>
    <row r="962" spans="1:28">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c r="AA962" s="5"/>
      <c r="AB962" s="5"/>
    </row>
    <row r="963" spans="1:28">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c r="AA963" s="5"/>
      <c r="AB963" s="5"/>
    </row>
    <row r="964" spans="1:28">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c r="AA964" s="5"/>
      <c r="AB964" s="5"/>
    </row>
    <row r="965" spans="1:28">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c r="AA965" s="5"/>
      <c r="AB965" s="5"/>
    </row>
    <row r="966" spans="1:28">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c r="AA966" s="5"/>
      <c r="AB966" s="5"/>
    </row>
    <row r="967" spans="1:28">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c r="AA967" s="5"/>
      <c r="AB967" s="5"/>
    </row>
    <row r="968" spans="1:28">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c r="AA968" s="5"/>
      <c r="AB968" s="5"/>
    </row>
    <row r="969" spans="1:28">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c r="AA969" s="5"/>
      <c r="AB969" s="5"/>
    </row>
    <row r="970" spans="1:28">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c r="AA970" s="5"/>
      <c r="AB970" s="5"/>
    </row>
    <row r="971" spans="1:28">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c r="AA971" s="5"/>
      <c r="AB971" s="5"/>
    </row>
    <row r="972" spans="1:28">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c r="AA972" s="5"/>
      <c r="AB972" s="5"/>
    </row>
    <row r="973" spans="1:28">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c r="AA973" s="5"/>
      <c r="AB973" s="5"/>
    </row>
    <row r="974" spans="1:28">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c r="AA974" s="5"/>
      <c r="AB974" s="5"/>
    </row>
    <row r="975" spans="1:28">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c r="AA975" s="5"/>
      <c r="AB975" s="5"/>
    </row>
    <row r="976" spans="1:28">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c r="AA976" s="5"/>
      <c r="AB976" s="5"/>
    </row>
    <row r="977" spans="1:28">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c r="AA977" s="5"/>
      <c r="AB977" s="5"/>
    </row>
    <row r="978" spans="1:28">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c r="AA978" s="5"/>
      <c r="AB978" s="5"/>
    </row>
    <row r="979" spans="1:28">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c r="AA979" s="5"/>
      <c r="AB979" s="5"/>
    </row>
    <row r="980" spans="1:28">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c r="AA980" s="5"/>
      <c r="AB980" s="5"/>
    </row>
    <row r="981" spans="1:28">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c r="AA981" s="5"/>
      <c r="AB981" s="5"/>
    </row>
    <row r="982" spans="1:28">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c r="AA982" s="5"/>
      <c r="AB982" s="5"/>
    </row>
    <row r="983" spans="1:28">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c r="AA983" s="5"/>
      <c r="AB983" s="5"/>
    </row>
    <row r="984" spans="1:28">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c r="AA984" s="5"/>
      <c r="AB984" s="5"/>
    </row>
    <row r="985" spans="1:28">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c r="AA985" s="5"/>
      <c r="AB985" s="5"/>
    </row>
    <row r="986" spans="1:28">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c r="AA986" s="5"/>
      <c r="AB986" s="5"/>
    </row>
    <row r="987" spans="1:28">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c r="AA987" s="5"/>
      <c r="AB987" s="5"/>
    </row>
    <row r="988" spans="1:28">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c r="AA988" s="5"/>
      <c r="AB988" s="5"/>
    </row>
    <row r="989" spans="1:28">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c r="AA989" s="5"/>
      <c r="AB989" s="5"/>
    </row>
    <row r="990" spans="1:28">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c r="AA990" s="5"/>
      <c r="AB990" s="5"/>
    </row>
    <row r="991" spans="1:28">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c r="AA991" s="5"/>
      <c r="AB991" s="5"/>
    </row>
    <row r="992" spans="1:28">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c r="AA992" s="5"/>
      <c r="AB992" s="5"/>
    </row>
    <row r="993" spans="1:28">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c r="AA993" s="5"/>
      <c r="AB993" s="5"/>
    </row>
    <row r="994" spans="1:28">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c r="AA994" s="5"/>
      <c r="AB994" s="5"/>
    </row>
    <row r="995" spans="1:28">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c r="AA995" s="5"/>
      <c r="AB995" s="5"/>
    </row>
    <row r="996" spans="1:28">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c r="AA996" s="5"/>
      <c r="AB996" s="5"/>
    </row>
    <row r="997" spans="1:28">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c r="AA997" s="5"/>
      <c r="AB997" s="5"/>
    </row>
    <row r="998" spans="1:28">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c r="AA998" s="5"/>
      <c r="AB998" s="5"/>
    </row>
    <row r="999" spans="1:28">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c r="AA999" s="5"/>
      <c r="AB999" s="5"/>
    </row>
    <row r="1000" spans="1:28">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c r="AA1000" s="5"/>
      <c r="AB1000" s="5"/>
    </row>
    <row r="1001" spans="1:28">
      <c r="A1001" s="5"/>
      <c r="B1001" s="5"/>
      <c r="C1001" s="5"/>
      <c r="D1001" s="5"/>
      <c r="E1001" s="5"/>
      <c r="F1001" s="5"/>
      <c r="G1001" s="5"/>
      <c r="H1001" s="5"/>
      <c r="I1001" s="5"/>
      <c r="J1001" s="5"/>
      <c r="K1001" s="5"/>
      <c r="L1001" s="5"/>
      <c r="M1001" s="5"/>
      <c r="N1001" s="5"/>
      <c r="O1001" s="5"/>
      <c r="P1001" s="5"/>
      <c r="Q1001" s="5"/>
      <c r="R1001" s="5"/>
      <c r="S1001" s="5"/>
      <c r="T1001" s="5"/>
      <c r="U1001" s="5"/>
      <c r="V1001" s="5"/>
      <c r="W1001" s="5"/>
      <c r="X1001" s="5"/>
      <c r="Y1001" s="5"/>
      <c r="Z1001" s="5"/>
      <c r="AA1001" s="5"/>
      <c r="AB1001" s="5"/>
    </row>
  </sheetData>
  <autoFilter ref="A2:I140" xr:uid="{00000000-0009-0000-0000-000002000000}"/>
  <mergeCells count="1">
    <mergeCell ref="A1:I1"/>
  </mergeCells>
  <pageMargins left="0.5" right="0.5" top="0.75" bottom="0.75" header="0" footer="0"/>
  <pageSetup scale="10" fitToHeight="0" orientation="portrait" r:id="rId1"/>
  <headerFooter>
    <oddFooter>&amp;C000000&amp;P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Export Summary</vt:lpstr>
      <vt:lpstr>In Store - Food Item Prices and</vt:lpstr>
      <vt:lpstr>3rd Party - Food Item Prices an</vt:lpstr>
      <vt:lpstr>'3rd Party - Food Item Prices an'!Títulos_a_imprimir</vt:lpstr>
      <vt:lpstr>'In Store - Food Item Prices and'!Títulos_a_imprimir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RobertoCarlos .</dc:creator>
  <cp:lastModifiedBy>RobertoCarlos .</cp:lastModifiedBy>
  <cp:lastPrinted>2026-03-08T01:48:32Z</cp:lastPrinted>
  <dcterms:created xsi:type="dcterms:W3CDTF">2026-03-08T17:52:23Z</dcterms:created>
  <dcterms:modified xsi:type="dcterms:W3CDTF">2026-03-08T17:52:23Z</dcterms:modified>
</cp:coreProperties>
</file>