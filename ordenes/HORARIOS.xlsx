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S" sheetId="1" r:id="rId5"/>
    <sheet state="hidden" name="VACACIONES" sheetId="2" r:id="rId6"/>
    <sheet state="visible" name="EFECTIVO" sheetId="3" r:id="rId7"/>
    <sheet state="hidden" name="historico" sheetId="4" r:id="rId8"/>
  </sheets>
  <definedNames>
    <definedName hidden="1" localSheetId="1" name="_xlnm._FilterDatabase">VACACIONES!$A$3:$G$43</definedName>
    <definedName hidden="1" localSheetId="3" name="_xlnm._FilterDatabase">historico!$A$1:$E$119</definedName>
  </definedNames>
  <calcPr/>
</workbook>
</file>

<file path=xl/sharedStrings.xml><?xml version="1.0" encoding="utf-8"?>
<sst xmlns="http://schemas.openxmlformats.org/spreadsheetml/2006/main" count="479" uniqueCount="224">
  <si>
    <t>Temporal</t>
  </si>
  <si>
    <t>vacaciones</t>
  </si>
  <si>
    <t>no se mueve</t>
  </si>
  <si>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</si>
  <si>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</si>
  <si>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</si>
  <si>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</si>
  <si>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</si>
  <si>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</si>
  <si>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</si>
  <si>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</si>
  <si>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mover dia</t>
  </si>
  <si>
    <t>Carlos Velazquez</t>
  </si>
  <si>
    <t>9am - 5pm</t>
  </si>
  <si>
    <t>5pm-1am</t>
  </si>
  <si>
    <t>3pm - 11am</t>
  </si>
  <si>
    <t>4pm - 12am</t>
  </si>
  <si>
    <t>1pm - 9pm</t>
  </si>
  <si>
    <t>permiso</t>
  </si>
  <si>
    <t>Alfredo Ajin</t>
  </si>
  <si>
    <t>7am - 5pm</t>
  </si>
  <si>
    <t>7am - 4pm</t>
  </si>
  <si>
    <t>Apertura: 5</t>
  </si>
  <si>
    <t>Stephanie Quinones</t>
  </si>
  <si>
    <t>9am - 3pm</t>
  </si>
  <si>
    <t>Camila Ramirez</t>
  </si>
  <si>
    <t>8am - 4pm</t>
  </si>
  <si>
    <t>8am - 1pm</t>
  </si>
  <si>
    <t>8am - 3pm</t>
  </si>
  <si>
    <t>8am - 2pm</t>
  </si>
  <si>
    <t>Norma Orellana</t>
  </si>
  <si>
    <t>8am - 5pm</t>
  </si>
  <si>
    <t>10am - 5pm</t>
  </si>
  <si>
    <t>9am - 4pm</t>
  </si>
  <si>
    <t>Antonio Cristobal</t>
  </si>
  <si>
    <t>Rogelio Hernandez</t>
  </si>
  <si>
    <t>9am - 6pm</t>
  </si>
  <si>
    <t>9am - 7pm</t>
  </si>
  <si>
    <t>Cristal Pelayo</t>
  </si>
  <si>
    <t>sep/30-nov/28</t>
  </si>
  <si>
    <t>Jennifer Isidoro</t>
  </si>
  <si>
    <t>Claudia Corzo</t>
  </si>
  <si>
    <t>Candy Alonzo</t>
  </si>
  <si>
    <t>Rosalba Ortega</t>
  </si>
  <si>
    <t>11am - 5pm</t>
  </si>
  <si>
    <t>Odalis Benitez</t>
  </si>
  <si>
    <t>11 am - 5pm</t>
  </si>
  <si>
    <t>12 pm - 5pm</t>
  </si>
  <si>
    <t>Apolonio Cardozo</t>
  </si>
  <si>
    <t>Fortino Garcia</t>
  </si>
  <si>
    <t>7am - 3pm</t>
  </si>
  <si>
    <t>Michael Camacho</t>
  </si>
  <si>
    <t>Rodrigo Ramirez</t>
  </si>
  <si>
    <t>Baja</t>
  </si>
  <si>
    <t>Jose Gil</t>
  </si>
  <si>
    <t>Eduardo Rodrigue</t>
  </si>
  <si>
    <t>David Rodriguez</t>
  </si>
  <si>
    <t>Serapio Sicajau</t>
  </si>
  <si>
    <t>Javier Castillo</t>
  </si>
  <si>
    <t>Total</t>
  </si>
  <si>
    <t>PARA ABRIR</t>
  </si>
  <si>
    <t>Juan Carlos Dominguez</t>
  </si>
  <si>
    <t>5pm - 3am</t>
  </si>
  <si>
    <t>5pm - 4am</t>
  </si>
  <si>
    <t>8pm - 5am</t>
  </si>
  <si>
    <t>Sarai Rivas Tejada</t>
  </si>
  <si>
    <t>6pm - 2am</t>
  </si>
  <si>
    <t>5pm - 1am</t>
  </si>
  <si>
    <t>5pm - 2am</t>
  </si>
  <si>
    <t>Para Cierre: 5 y 6 JyD</t>
  </si>
  <si>
    <t>Kimberly Flores</t>
  </si>
  <si>
    <t>Mario Gonzalez</t>
  </si>
  <si>
    <t>5pm - 5am</t>
  </si>
  <si>
    <t>5pm -4am</t>
  </si>
  <si>
    <t>Esmeralda Lopez</t>
  </si>
  <si>
    <t>Jaqueline Gutierres</t>
  </si>
  <si>
    <t>4pm - 3am</t>
  </si>
  <si>
    <t>3pm - 11pm</t>
  </si>
  <si>
    <t>Briant Hernandez</t>
  </si>
  <si>
    <t>6pm - 12am</t>
  </si>
  <si>
    <t>Andrea Hernandez</t>
  </si>
  <si>
    <t>7pm - 11pm</t>
  </si>
  <si>
    <t>7pm - 3am</t>
  </si>
  <si>
    <t>5pm - 10pm</t>
  </si>
  <si>
    <t>Alondra Hernandez</t>
  </si>
  <si>
    <t>6pm - 1am</t>
  </si>
  <si>
    <t>6pm - 3am</t>
  </si>
  <si>
    <t>6pm - 4am</t>
  </si>
  <si>
    <t>7pm - 12am</t>
  </si>
  <si>
    <t>Isabela Hernandez</t>
  </si>
  <si>
    <t>4pm - 1am</t>
  </si>
  <si>
    <t>Johana Hernandez</t>
  </si>
  <si>
    <t>5pm - 12am</t>
  </si>
  <si>
    <t>Jose Chajon</t>
  </si>
  <si>
    <t>Christopher Gonzalez</t>
  </si>
  <si>
    <t>4pm - 4am</t>
  </si>
  <si>
    <t>Ezequiel Arizmendi</t>
  </si>
  <si>
    <t>Mario PEC</t>
  </si>
  <si>
    <t>Jairo Aguilar</t>
  </si>
  <si>
    <t>6pm - 5am</t>
  </si>
  <si>
    <t>Jesse Quezada</t>
  </si>
  <si>
    <t>Marco Antonio Bautista</t>
  </si>
  <si>
    <t>Roberto Novoa</t>
  </si>
  <si>
    <t>4pm - 2am</t>
  </si>
  <si>
    <t>Martin Hernandez</t>
  </si>
  <si>
    <t>Williams Zabala</t>
  </si>
  <si>
    <t>8pm - 4am</t>
  </si>
  <si>
    <t>8pm - 3am</t>
  </si>
  <si>
    <t>Moises Ramos</t>
  </si>
  <si>
    <t>5pm - 11pm</t>
  </si>
  <si>
    <t>total</t>
  </si>
  <si>
    <t>CERRADORES</t>
  </si>
  <si>
    <t>Employee Work History Report</t>
  </si>
  <si>
    <t>firstName</t>
  </si>
  <si>
    <t>lastName</t>
  </si>
  <si>
    <t>department</t>
  </si>
  <si>
    <t>startDate</t>
  </si>
  <si>
    <t>latestDate</t>
  </si>
  <si>
    <t>YearsOfService</t>
  </si>
  <si>
    <t>Claudia</t>
  </si>
  <si>
    <t>Corzo</t>
  </si>
  <si>
    <t>Tacos Gavilan-Central</t>
  </si>
  <si>
    <t>Jul/31-Ago/13</t>
  </si>
  <si>
    <t>Marco Antonio</t>
  </si>
  <si>
    <t>Bautista</t>
  </si>
  <si>
    <t>Stephanie</t>
  </si>
  <si>
    <t>Quinonez</t>
  </si>
  <si>
    <t>Fortino</t>
  </si>
  <si>
    <t>Garcia</t>
  </si>
  <si>
    <t>Norma</t>
  </si>
  <si>
    <t>Orellana</t>
  </si>
  <si>
    <t>Jaqueline</t>
  </si>
  <si>
    <t>Gutierrez Contreras</t>
  </si>
  <si>
    <t>Jul/03-09</t>
  </si>
  <si>
    <t>Rodrigo</t>
  </si>
  <si>
    <t>Ramirez</t>
  </si>
  <si>
    <t>Kimberly</t>
  </si>
  <si>
    <t>Flores</t>
  </si>
  <si>
    <t>Antonio</t>
  </si>
  <si>
    <t>Cristobal</t>
  </si>
  <si>
    <t>Odalis</t>
  </si>
  <si>
    <t>Benitez</t>
  </si>
  <si>
    <t>Tacos Gavilan-Central - DNU</t>
  </si>
  <si>
    <t>PARTIME</t>
  </si>
  <si>
    <t>Alfredo</t>
  </si>
  <si>
    <t>Ajin</t>
  </si>
  <si>
    <t>Rogelio</t>
  </si>
  <si>
    <t>Hernandez</t>
  </si>
  <si>
    <t>Abril</t>
  </si>
  <si>
    <t>Cristal</t>
  </si>
  <si>
    <t>Pelayo</t>
  </si>
  <si>
    <t>Alondra</t>
  </si>
  <si>
    <t>Sep</t>
  </si>
  <si>
    <t>Apolonio</t>
  </si>
  <si>
    <t>Cardoso</t>
  </si>
  <si>
    <t>Briant</t>
  </si>
  <si>
    <t>Jennifer Marleen</t>
  </si>
  <si>
    <t>Isidoro</t>
  </si>
  <si>
    <t>Jose</t>
  </si>
  <si>
    <t>Andrea</t>
  </si>
  <si>
    <t>Hernandez Flores</t>
  </si>
  <si>
    <t>Michael</t>
  </si>
  <si>
    <t>Camacho</t>
  </si>
  <si>
    <t>Eduardo</t>
  </si>
  <si>
    <t>Rodriguez</t>
  </si>
  <si>
    <t>Ester Sarai</t>
  </si>
  <si>
    <t>Tejada</t>
  </si>
  <si>
    <t>Ago</t>
  </si>
  <si>
    <t>Camila</t>
  </si>
  <si>
    <t>Cristofer E</t>
  </si>
  <si>
    <t>Gonzalez</t>
  </si>
  <si>
    <t>Feb</t>
  </si>
  <si>
    <t>Ivania</t>
  </si>
  <si>
    <t>Lopez</t>
  </si>
  <si>
    <t>Mayo</t>
  </si>
  <si>
    <t>Gil Ruiz</t>
  </si>
  <si>
    <t>Juan</t>
  </si>
  <si>
    <t>Peralta</t>
  </si>
  <si>
    <t>Jul/09-15</t>
  </si>
  <si>
    <t>Esequiel</t>
  </si>
  <si>
    <t>Arizmendi</t>
  </si>
  <si>
    <t>Oct</t>
  </si>
  <si>
    <t>Candy</t>
  </si>
  <si>
    <t>Alonzo</t>
  </si>
  <si>
    <t>Marvin</t>
  </si>
  <si>
    <t>Chay</t>
  </si>
  <si>
    <t>Ago/21</t>
  </si>
  <si>
    <t>Jairo</t>
  </si>
  <si>
    <t>Aguilar</t>
  </si>
  <si>
    <t>Jesse</t>
  </si>
  <si>
    <t>Quezada</t>
  </si>
  <si>
    <t>Dic</t>
  </si>
  <si>
    <t>Erick</t>
  </si>
  <si>
    <t>Martinez</t>
  </si>
  <si>
    <t>Isabela</t>
  </si>
  <si>
    <t>Martin</t>
  </si>
  <si>
    <t>Mario</t>
  </si>
  <si>
    <t>Johana</t>
  </si>
  <si>
    <t>Hernandez Gonzalez</t>
  </si>
  <si>
    <t>Carlos</t>
  </si>
  <si>
    <t>Velazquez</t>
  </si>
  <si>
    <t>Jeovany</t>
  </si>
  <si>
    <t>Rivera</t>
  </si>
  <si>
    <t>Juan Carlos</t>
  </si>
  <si>
    <t>Dominguez</t>
  </si>
  <si>
    <t>billetes sueltos</t>
  </si>
  <si>
    <t>CAMBIO</t>
  </si>
  <si>
    <t>UNIFORMES</t>
  </si>
  <si>
    <t>Fecha</t>
  </si>
  <si>
    <t>Monto</t>
  </si>
  <si>
    <t>uniformes</t>
  </si>
  <si>
    <t>TOTAL</t>
  </si>
  <si>
    <t>diferencia</t>
  </si>
  <si>
    <t>Diferencia ini-fin</t>
  </si>
  <si>
    <t>max</t>
  </si>
  <si>
    <t>VALOR</t>
  </si>
  <si>
    <t>cant</t>
  </si>
  <si>
    <t>tot</t>
  </si>
  <si>
    <t>n</t>
  </si>
  <si>
    <t>FECHA HOY</t>
  </si>
  <si>
    <t>BILLETES SUELTOS</t>
  </si>
  <si>
    <t>CAMBIO (MONEDAS)</t>
  </si>
  <si>
    <t>CAJAS</t>
  </si>
  <si>
    <t>Registros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</si>
</sst>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0.0"/>
    <numFmt numFmtId="166" formatCode="m/d/yyyy"/>
    <numFmt numFmtId="167" formatCode="&quot;$&quot;#,##0"/>
    <numFmt numFmtId="168" formatCode="&quot;$&quot;#,##0.00"/>
    <numFmt numFmtId="169" formatCode="mmm&quot; &quot;dd&quot;, &quot;yyyy"/>
    <numFmt numFmtId="170" formatCode="h:mm am/pm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Calibri"/>
    </font>
    <font>
      <color theme="1"/>
      <name val="Calibri"/>
      <scheme val="minor"/>
    </font>
    <font>
      <b/>
      <sz val="13.0"/>
      <color rgb="FFD9D9D9"/>
      <name val="Calibri"/>
    </font>
    <font>
      <b/>
      <sz val="13.0"/>
      <color theme="1"/>
      <name val="Calibri"/>
    </font>
    <font>
      <color rgb="FF0000FF"/>
      <name val="Calibri"/>
    </font>
    <font>
      <sz val="12.0"/>
      <color rgb="FF0000FF"/>
      <name val="Calibri"/>
    </font>
    <font>
      <b/>
      <color theme="1"/>
      <name val="Calibri"/>
    </font>
    <font>
      <b/>
      <sz val="12.0"/>
      <color rgb="FF0000FF"/>
      <name val="Calibri"/>
    </font>
    <font>
      <b/>
      <sz val="12.0"/>
      <color theme="1"/>
      <name val="Calibri"/>
    </font>
    <font/>
    <font>
      <sz val="12.0"/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28">
    <border/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ck">
        <color rgb="FF000000"/>
      </right>
    </border>
    <border>
      <left style="thick">
        <color rgb="FF000000"/>
      </left>
      <top style="dotted">
        <color rgb="FF000000"/>
      </top>
    </border>
    <border>
      <top style="dotted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dotted">
        <color rgb="FF000000"/>
      </bottom>
    </border>
    <border>
      <bottom style="dotted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1" numFmtId="0" xfId="0" applyFont="1"/>
    <xf borderId="0" fillId="3" fontId="3" numFmtId="0" xfId="0" applyFill="1" applyFont="1"/>
    <xf borderId="0" fillId="0" fontId="3" numFmtId="0" xfId="0" applyAlignment="1" applyFont="1">
      <alignment readingOrder="0"/>
    </xf>
    <xf borderId="0" fillId="4" fontId="4" numFmtId="14" xfId="0" applyAlignment="1" applyFill="1" applyFont="1" applyNumberFormat="1">
      <alignment readingOrder="0"/>
    </xf>
    <xf borderId="0" fillId="4" fontId="5" numFmtId="14" xfId="0" applyAlignment="1" applyFont="1" applyNumberFormat="1">
      <alignment horizontal="center"/>
    </xf>
    <xf borderId="0" fillId="5" fontId="1" numFmtId="0" xfId="0" applyFill="1" applyFont="1"/>
    <xf borderId="0" fillId="4" fontId="5" numFmtId="0" xfId="0" applyFont="1"/>
    <xf borderId="0" fillId="4" fontId="5" numFmtId="0" xfId="0" applyAlignment="1" applyFont="1">
      <alignment horizontal="center"/>
    </xf>
    <xf borderId="0" fillId="6" fontId="1" numFmtId="0" xfId="0" applyFill="1" applyFont="1"/>
    <xf borderId="0" fillId="0" fontId="1" numFmtId="0" xfId="0" applyAlignment="1" applyFont="1">
      <alignment horizontal="center" readingOrder="0"/>
    </xf>
    <xf borderId="0" fillId="7" fontId="3" numFmtId="0" xfId="0" applyFill="1" applyFont="1"/>
    <xf borderId="1" fillId="0" fontId="1" numFmtId="0" xfId="0" applyBorder="1" applyFont="1"/>
    <xf borderId="2" fillId="0" fontId="6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1" numFmtId="0" xfId="0" applyBorder="1" applyFont="1"/>
    <xf borderId="0" fillId="8" fontId="7" numFmtId="0" xfId="0" applyFill="1" applyFont="1"/>
    <xf borderId="4" fillId="9" fontId="1" numFmtId="0" xfId="0" applyBorder="1" applyFill="1" applyFont="1"/>
    <xf borderId="5" fillId="0" fontId="1" numFmtId="0" xfId="0" applyAlignment="1" applyBorder="1" applyFont="1">
      <alignment horizontal="center"/>
    </xf>
    <xf borderId="6" fillId="0" fontId="1" numFmtId="0" xfId="0" applyBorder="1" applyFont="1"/>
    <xf borderId="5" fillId="0" fontId="1" numFmtId="0" xfId="0" applyAlignment="1" applyBorder="1" applyFont="1">
      <alignment horizontal="center" readingOrder="0"/>
    </xf>
    <xf borderId="4" fillId="10" fontId="1" numFmtId="0" xfId="0" applyBorder="1" applyFill="1" applyFont="1"/>
    <xf borderId="5" fillId="11" fontId="1" numFmtId="0" xfId="0" applyAlignment="1" applyBorder="1" applyFill="1" applyFont="1">
      <alignment horizontal="center"/>
    </xf>
    <xf borderId="5" fillId="11" fontId="6" numFmtId="0" xfId="0" applyAlignment="1" applyBorder="1" applyFont="1">
      <alignment horizontal="center"/>
    </xf>
    <xf borderId="5" fillId="11" fontId="6" numFmtId="0" xfId="0" applyAlignment="1" applyBorder="1" applyFont="1">
      <alignment horizontal="center" readingOrder="0"/>
    </xf>
    <xf borderId="5" fillId="11" fontId="1" numFmtId="0" xfId="0" applyAlignment="1" applyBorder="1" applyFont="1">
      <alignment horizontal="center" readingOrder="0"/>
    </xf>
    <xf borderId="5" fillId="5" fontId="1" numFmtId="0" xfId="0" applyAlignment="1" applyBorder="1" applyFont="1">
      <alignment horizontal="center"/>
    </xf>
    <xf borderId="5" fillId="7" fontId="1" numFmtId="0" xfId="0" applyAlignment="1" applyBorder="1" applyFont="1">
      <alignment horizontal="center"/>
    </xf>
    <xf borderId="4" fillId="9" fontId="1" numFmtId="0" xfId="0" applyAlignment="1" applyBorder="1" applyFont="1">
      <alignment readingOrder="0"/>
    </xf>
    <xf borderId="4" fillId="12" fontId="1" numFmtId="0" xfId="0" applyBorder="1" applyFill="1" applyFont="1"/>
    <xf borderId="5" fillId="12" fontId="6" numFmtId="0" xfId="0" applyAlignment="1" applyBorder="1" applyFont="1">
      <alignment horizontal="center"/>
    </xf>
    <xf borderId="5" fillId="12" fontId="1" numFmtId="0" xfId="0" applyAlignment="1" applyBorder="1" applyFont="1">
      <alignment horizontal="center"/>
    </xf>
    <xf borderId="4" fillId="13" fontId="1" numFmtId="0" xfId="0" applyBorder="1" applyFill="1" applyFont="1"/>
    <xf borderId="5" fillId="0" fontId="6" numFmtId="0" xfId="0" applyAlignment="1" applyBorder="1" applyFont="1">
      <alignment horizontal="center"/>
    </xf>
    <xf borderId="4" fillId="5" fontId="1" numFmtId="0" xfId="0" applyBorder="1" applyFont="1"/>
    <xf borderId="5" fillId="5" fontId="6" numFmtId="0" xfId="0" applyAlignment="1" applyBorder="1" applyFont="1">
      <alignment horizontal="center"/>
    </xf>
    <xf borderId="4" fillId="13" fontId="1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/>
    </xf>
    <xf borderId="7" fillId="13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9" fillId="0" fontId="8" numFmtId="0" xfId="0" applyAlignment="1" applyBorder="1" applyFont="1">
      <alignment horizontal="right" readingOrder="0"/>
    </xf>
    <xf borderId="10" fillId="0" fontId="9" numFmtId="0" xfId="0" applyAlignment="1" applyBorder="1" applyFont="1">
      <alignment horizontal="center"/>
    </xf>
    <xf borderId="11" fillId="0" fontId="8" numFmtId="0" xfId="0" applyAlignment="1" applyBorder="1" applyFont="1">
      <alignment horizontal="right" readingOrder="0"/>
    </xf>
    <xf borderId="12" fillId="0" fontId="9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center"/>
    </xf>
    <xf borderId="13" fillId="0" fontId="1" numFmtId="0" xfId="0" applyBorder="1" applyFont="1"/>
    <xf borderId="14" fillId="0" fontId="1" numFmtId="0" xfId="0" applyBorder="1" applyFont="1"/>
    <xf borderId="15" fillId="0" fontId="6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5" fillId="0" fontId="6" numFmtId="0" xfId="0" applyAlignment="1" applyBorder="1" applyFont="1">
      <alignment horizontal="center" readingOrder="0"/>
    </xf>
    <xf borderId="5" fillId="7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/>
    </xf>
    <xf borderId="16" fillId="0" fontId="8" numFmtId="0" xfId="0" applyAlignment="1" applyBorder="1" applyFont="1">
      <alignment horizontal="right" readingOrder="0"/>
    </xf>
    <xf borderId="17" fillId="0" fontId="9" numFmtId="0" xfId="0" applyAlignment="1" applyBorder="1" applyFont="1">
      <alignment horizontal="center"/>
    </xf>
    <xf borderId="18" fillId="0" fontId="1" numFmtId="0" xfId="0" applyBorder="1" applyFont="1"/>
    <xf borderId="19" fillId="0" fontId="8" numFmtId="0" xfId="0" applyAlignment="1" applyBorder="1" applyFont="1">
      <alignment horizontal="right"/>
    </xf>
    <xf borderId="20" fillId="0" fontId="9" numFmtId="0" xfId="0" applyAlignment="1" applyBorder="1" applyFont="1">
      <alignment horizontal="center"/>
    </xf>
    <xf borderId="21" fillId="0" fontId="1" numFmtId="0" xfId="0" applyBorder="1" applyFont="1"/>
    <xf borderId="22" fillId="0" fontId="1" numFmtId="0" xfId="0" applyBorder="1" applyFont="1"/>
    <xf borderId="0" fillId="0" fontId="1" numFmtId="165" xfId="0" applyFont="1" applyNumberFormat="1"/>
    <xf borderId="23" fillId="0" fontId="8" numFmtId="0" xfId="0" applyBorder="1" applyFont="1"/>
    <xf borderId="23" fillId="0" fontId="8" numFmtId="165" xfId="0" applyBorder="1" applyFont="1" applyNumberFormat="1"/>
    <xf borderId="23" fillId="0" fontId="10" numFmtId="1" xfId="0" applyAlignment="1" applyBorder="1" applyFont="1" applyNumberFormat="1">
      <alignment horizontal="center"/>
    </xf>
    <xf borderId="23" fillId="0" fontId="1" numFmtId="0" xfId="0" applyBorder="1" applyFont="1"/>
    <xf borderId="23" fillId="0" fontId="1" numFmtId="166" xfId="0" applyBorder="1" applyFont="1" applyNumberFormat="1"/>
    <xf borderId="23" fillId="0" fontId="1" numFmtId="165" xfId="0" applyBorder="1" applyFont="1" applyNumberFormat="1"/>
    <xf borderId="23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readingOrder="0"/>
    </xf>
    <xf borderId="23" fillId="0" fontId="1" numFmtId="166" xfId="0" applyAlignment="1" applyBorder="1" applyFont="1" applyNumberFormat="1">
      <alignment readingOrder="0"/>
    </xf>
    <xf borderId="24" fillId="8" fontId="10" numFmtId="0" xfId="0" applyAlignment="1" applyBorder="1" applyFont="1">
      <alignment horizontal="center"/>
    </xf>
    <xf borderId="25" fillId="0" fontId="11" numFmtId="0" xfId="0" applyBorder="1" applyFont="1"/>
    <xf borderId="26" fillId="0" fontId="11" numFmtId="0" xfId="0" applyBorder="1" applyFont="1"/>
    <xf borderId="0" fillId="0" fontId="12" numFmtId="0" xfId="0" applyFont="1"/>
    <xf borderId="27" fillId="8" fontId="10" numFmtId="0" xfId="0" applyAlignment="1" applyBorder="1" applyFont="1">
      <alignment readingOrder="0"/>
    </xf>
    <xf borderId="27" fillId="8" fontId="10" numFmtId="0" xfId="0" applyBorder="1" applyFont="1"/>
    <xf borderId="27" fillId="8" fontId="10" numFmtId="0" xfId="0" applyAlignment="1" applyBorder="1" applyFont="1">
      <alignment horizontal="center" readingOrder="0"/>
    </xf>
    <xf borderId="0" fillId="8" fontId="13" numFmtId="0" xfId="0" applyAlignment="1" applyFont="1">
      <alignment horizontal="center" readingOrder="0"/>
    </xf>
    <xf borderId="0" fillId="8" fontId="8" numFmtId="0" xfId="0" applyAlignment="1" applyFont="1">
      <alignment horizontal="center" readingOrder="0"/>
    </xf>
    <xf borderId="27" fillId="0" fontId="8" numFmtId="0" xfId="0" applyBorder="1" applyFont="1"/>
    <xf borderId="27" fillId="0" fontId="1" numFmtId="0" xfId="0" applyAlignment="1" applyBorder="1" applyFont="1">
      <alignment readingOrder="0"/>
    </xf>
    <xf borderId="27" fillId="0" fontId="1" numFmtId="167" xfId="0" applyAlignment="1" applyBorder="1" applyFont="1" applyNumberFormat="1">
      <alignment readingOrder="0"/>
    </xf>
    <xf borderId="27" fillId="0" fontId="1" numFmtId="167" xfId="0" applyAlignment="1" applyBorder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7" fillId="0" fontId="1" numFmtId="168" xfId="0" applyBorder="1" applyFont="1" applyNumberFormat="1"/>
    <xf borderId="27" fillId="14" fontId="1" numFmtId="0" xfId="0" applyAlignment="1" applyBorder="1" applyFill="1" applyFont="1">
      <alignment readingOrder="0"/>
    </xf>
    <xf borderId="27" fillId="0" fontId="1" numFmtId="169" xfId="0" applyBorder="1" applyFont="1" applyNumberFormat="1"/>
    <xf borderId="27" fillId="0" fontId="1" numFmtId="168" xfId="0" applyAlignment="1" applyBorder="1" applyFont="1" applyNumberFormat="1">
      <alignment horizontal="center"/>
    </xf>
    <xf borderId="0" fillId="0" fontId="1" numFmtId="168" xfId="0" applyAlignment="1" applyFont="1" applyNumberFormat="1">
      <alignment horizontal="center"/>
    </xf>
    <xf borderId="27" fillId="0" fontId="1" numFmtId="168" xfId="0" applyAlignment="1" applyBorder="1" applyFont="1" applyNumberFormat="1">
      <alignment readingOrder="0"/>
    </xf>
    <xf borderId="27" fillId="0" fontId="14" numFmtId="168" xfId="0" applyBorder="1" applyFont="1" applyNumberFormat="1"/>
    <xf borderId="0" fillId="0" fontId="3" numFmtId="168" xfId="0" applyFont="1" applyNumberFormat="1"/>
    <xf borderId="0" fillId="0" fontId="1" numFmtId="0" xfId="0" applyAlignment="1" applyFont="1">
      <alignment readingOrder="0"/>
    </xf>
    <xf borderId="0" fillId="0" fontId="8" numFmtId="169" xfId="0" applyFont="1" applyNumberFormat="1"/>
    <xf borderId="0" fillId="0" fontId="1" numFmtId="168" xfId="0" applyFont="1" applyNumberFormat="1"/>
    <xf borderId="0" fillId="0" fontId="1" numFmtId="168" xfId="0" applyAlignment="1" applyFont="1" applyNumberFormat="1">
      <alignment readingOrder="0"/>
    </xf>
    <xf borderId="0" fillId="0" fontId="14" numFmtId="0" xfId="0" applyFont="1"/>
    <xf borderId="0" fillId="0" fontId="10" numFmtId="168" xfId="0" applyFont="1" applyNumberFormat="1"/>
    <xf borderId="0" fillId="0" fontId="1" numFmtId="170" xfId="0" applyFont="1" applyNumberFormat="1"/>
    <xf borderId="0" fillId="0" fontId="3" numFmtId="0" xfId="0" applyAlignment="1" applyFont="1">
      <alignment horizontal="center"/>
    </xf>
    <xf borderId="27" fillId="8" fontId="8" numFmtId="0" xfId="0" applyBorder="1" applyFont="1"/>
    <xf borderId="27" fillId="8" fontId="8" numFmtId="0" xfId="0" applyAlignment="1" applyBorder="1" applyFont="1">
      <alignment readingOrder="0"/>
    </xf>
    <xf borderId="27" fillId="0" fontId="1" numFmtId="169" xfId="0" applyAlignment="1" applyBorder="1" applyFont="1" applyNumberFormat="1">
      <alignment readingOrder="0"/>
    </xf>
  </cellXfs>
  <cellStyles count="1">
    <cellStyle xfId="0" name="Normal" builtinId="0"/>
  </cellStyles>
  <dxfs count="3">
    <dxf>
      <font>
        <color rgb="FFFF0000"/>
      </font>
      <fill>
        <patternFill patternType="solid">
          <fgColor rgb="FFB7B7B7"/>
          <bgColor rgb="FFB7B7B7"/>
        </patternFill>
      </fill>
      <border/>
    </dxf>
    <dxf>
      <font>
        <b/>
        <color rgb="FF1155CC"/>
      </font>
      <fill>
        <patternFill patternType="solid">
          <fgColor rgb="FFB6D7A8"/>
          <bgColor rgb="FFB6D7A8"/>
        </patternFill>
      </fill>
      <border/>
    </dxf>
    <dxf>
      <font>
        <b/>
        <color rgb="FF1155C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12</xdr:row>
      <xdr:rowOff>9525</xdr:rowOff>
    </xdr:from>
    <xdr:ext cx="1647825" cy="895350"/>
    <xdr:sp>
      <xdr:nvSpPr>
        <xdr:cNvPr id="3" name="Shape 3"/>
        <xdr:cNvSpPr/>
      </xdr:nvSpPr>
      <xdr:spPr>
        <a:xfrm>
          <a:off x="4655450" y="3480000"/>
          <a:ext cx="2324100" cy="1261500"/>
        </a:xfrm>
        <a:prstGeom prst="homePlate">
          <a:avLst>
            <a:gd fmla="val 50000" name="adj"/>
          </a:avLst>
        </a:prstGeom>
        <a:solidFill>
          <a:srgbClr val="6AA84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4000"/>
            <a:buFont typeface="Arial"/>
            <a:buNone/>
          </a:pPr>
          <a:r>
            <a:rPr lang="en-US" sz="4000">
              <a:solidFill>
                <a:srgbClr val="FFFFFF"/>
              </a:solidFill>
            </a:rPr>
            <a:t> Record</a:t>
          </a:r>
          <a:endParaRPr sz="40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28575</xdr:colOff>
      <xdr:row>8</xdr:row>
      <xdr:rowOff>66675</xdr:rowOff>
    </xdr:from>
    <xdr:ext cx="1343025" cy="561975"/>
    <xdr:sp>
      <xdr:nvSpPr>
        <xdr:cNvPr id="5" name="Shape 5"/>
        <xdr:cNvSpPr/>
      </xdr:nvSpPr>
      <xdr:spPr>
        <a:xfrm>
          <a:off x="3592550" y="1471050"/>
          <a:ext cx="2872200" cy="1191000"/>
        </a:xfrm>
        <a:prstGeom prst="roundRect">
          <a:avLst>
            <a:gd fmla="val 16667" name="adj"/>
          </a:avLst>
        </a:prstGeom>
        <a:solidFill>
          <a:srgbClr val="FF00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000">
              <a:solidFill>
                <a:srgbClr val="FFFFFF"/>
              </a:solidFill>
            </a:rPr>
            <a:t>CLEAR</a:t>
          </a:r>
          <a:endParaRPr sz="30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57"/>
    <col customWidth="1" min="2" max="8" width="18.0"/>
    <col customWidth="1" min="9" max="9" width="4.57"/>
    <col customWidth="1" min="10" max="10" width="10.86"/>
    <col customWidth="1" min="11" max="11" width="20.57"/>
    <col customWidth="1" min="12" max="12" width="11.0"/>
    <col customWidth="1" min="14" max="14" width="9.57"/>
  </cols>
  <sheetData>
    <row r="1" ht="15.75" customHeight="1">
      <c r="B1" s="1"/>
      <c r="C1" s="2"/>
      <c r="D1" s="2"/>
      <c r="E1" s="2"/>
      <c r="F1" s="2"/>
      <c r="G1" s="2"/>
      <c r="H1" s="2"/>
      <c r="K1" s="3"/>
      <c r="L1" s="4" t="s">
        <v>0</v>
      </c>
      <c r="M1" s="5"/>
      <c r="N1" s="6" t="s">
        <v>1</v>
      </c>
    </row>
    <row r="2" ht="15.75" customHeight="1">
      <c r="A2" s="7">
        <v>45214.0</v>
      </c>
      <c r="B2" s="8">
        <f t="shared" ref="B2:H2" si="1">A2+1</f>
        <v>45215</v>
      </c>
      <c r="C2" s="8">
        <f t="shared" si="1"/>
        <v>45216</v>
      </c>
      <c r="D2" s="8">
        <f t="shared" si="1"/>
        <v>45217</v>
      </c>
      <c r="E2" s="8">
        <f t="shared" si="1"/>
        <v>45218</v>
      </c>
      <c r="F2" s="8">
        <f t="shared" si="1"/>
        <v>45219</v>
      </c>
      <c r="G2" s="8">
        <f t="shared" si="1"/>
        <v>45220</v>
      </c>
      <c r="H2" s="8">
        <f t="shared" si="1"/>
        <v>45221</v>
      </c>
      <c r="K2" s="9"/>
      <c r="L2" s="4" t="s">
        <v>2</v>
      </c>
    </row>
    <row r="3" ht="15.75" customHeight="1">
      <c r="A3" s="10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K3" s="12"/>
      <c r="L3" s="4" t="s">
        <v>11</v>
      </c>
    </row>
    <row r="4" ht="15.75" customHeight="1">
      <c r="A4" s="4" t="s">
        <v>12</v>
      </c>
      <c r="B4" s="2" t="s">
        <v>13</v>
      </c>
      <c r="C4" s="2" t="s">
        <v>13</v>
      </c>
      <c r="D4" s="13" t="s">
        <v>14</v>
      </c>
      <c r="E4" s="2"/>
      <c r="F4" s="13" t="s">
        <v>15</v>
      </c>
      <c r="G4" s="2" t="s">
        <v>16</v>
      </c>
      <c r="H4" s="13" t="s">
        <v>17</v>
      </c>
      <c r="K4" s="14"/>
      <c r="L4" s="6" t="s">
        <v>18</v>
      </c>
    </row>
    <row r="5" ht="15.75" customHeight="1">
      <c r="A5" s="15" t="s">
        <v>19</v>
      </c>
      <c r="B5" s="16" t="s">
        <v>20</v>
      </c>
      <c r="C5" s="17"/>
      <c r="D5" s="16" t="s">
        <v>20</v>
      </c>
      <c r="E5" s="16" t="s">
        <v>20</v>
      </c>
      <c r="F5" s="16" t="s">
        <v>21</v>
      </c>
      <c r="G5" s="16" t="s">
        <v>20</v>
      </c>
      <c r="H5" s="16" t="s">
        <v>20</v>
      </c>
      <c r="I5" s="18"/>
      <c r="K5" s="19" t="s">
        <v>22</v>
      </c>
    </row>
    <row r="6" ht="15.75" customHeight="1">
      <c r="A6" s="20" t="s">
        <v>23</v>
      </c>
      <c r="B6" s="21"/>
      <c r="C6" s="21" t="s">
        <v>24</v>
      </c>
      <c r="D6" s="21" t="s">
        <v>13</v>
      </c>
      <c r="E6" s="21" t="s">
        <v>24</v>
      </c>
      <c r="F6" s="21" t="s">
        <v>13</v>
      </c>
      <c r="G6" s="21" t="s">
        <v>13</v>
      </c>
      <c r="H6" s="21"/>
      <c r="I6" s="22"/>
    </row>
    <row r="7" ht="15.75" customHeight="1">
      <c r="A7" s="20" t="s">
        <v>25</v>
      </c>
      <c r="B7" s="21" t="s">
        <v>26</v>
      </c>
      <c r="C7" s="21"/>
      <c r="D7" s="21" t="s">
        <v>26</v>
      </c>
      <c r="E7" s="23" t="s">
        <v>27</v>
      </c>
      <c r="F7" s="21"/>
      <c r="G7" s="23" t="s">
        <v>28</v>
      </c>
      <c r="H7" s="23" t="s">
        <v>29</v>
      </c>
      <c r="I7" s="22"/>
    </row>
    <row r="8" ht="15.75" customHeight="1">
      <c r="A8" s="20" t="s">
        <v>30</v>
      </c>
      <c r="B8" s="21" t="s">
        <v>13</v>
      </c>
      <c r="C8" s="21" t="s">
        <v>31</v>
      </c>
      <c r="D8" s="21"/>
      <c r="E8" s="21" t="s">
        <v>32</v>
      </c>
      <c r="F8" s="21" t="s">
        <v>31</v>
      </c>
      <c r="G8" s="21" t="s">
        <v>33</v>
      </c>
      <c r="H8" s="21" t="s">
        <v>13</v>
      </c>
      <c r="I8" s="22"/>
    </row>
    <row r="9" ht="15.75" customHeight="1">
      <c r="A9" s="24" t="s">
        <v>34</v>
      </c>
      <c r="B9" s="25"/>
      <c r="C9" s="26" t="s">
        <v>20</v>
      </c>
      <c r="D9" s="25" t="s">
        <v>31</v>
      </c>
      <c r="E9" s="25" t="s">
        <v>31</v>
      </c>
      <c r="F9" s="26" t="s">
        <v>20</v>
      </c>
      <c r="G9" s="26" t="s">
        <v>20</v>
      </c>
      <c r="H9" s="26" t="s">
        <v>20</v>
      </c>
      <c r="I9" s="22"/>
    </row>
    <row r="10" ht="15.75" customHeight="1">
      <c r="A10" s="24" t="s">
        <v>35</v>
      </c>
      <c r="B10" s="25" t="s">
        <v>13</v>
      </c>
      <c r="C10" s="27" t="s">
        <v>20</v>
      </c>
      <c r="D10" s="28" t="s">
        <v>36</v>
      </c>
      <c r="E10" s="25"/>
      <c r="F10" s="25" t="s">
        <v>37</v>
      </c>
      <c r="G10" s="25" t="s">
        <v>37</v>
      </c>
      <c r="H10" s="25" t="s">
        <v>13</v>
      </c>
      <c r="I10" s="22"/>
    </row>
    <row r="11" ht="15.75" customHeight="1">
      <c r="A11" s="20" t="s">
        <v>38</v>
      </c>
      <c r="B11" s="29" t="s">
        <v>33</v>
      </c>
      <c r="C11" s="29" t="s">
        <v>33</v>
      </c>
      <c r="D11" s="29"/>
      <c r="E11" s="29" t="s">
        <v>33</v>
      </c>
      <c r="F11" s="29" t="s">
        <v>33</v>
      </c>
      <c r="G11" s="29"/>
      <c r="H11" s="29"/>
      <c r="I11" s="22"/>
      <c r="J11" s="6" t="s">
        <v>39</v>
      </c>
    </row>
    <row r="12" ht="15.75" customHeight="1">
      <c r="A12" s="20" t="s">
        <v>40</v>
      </c>
      <c r="B12" s="21"/>
      <c r="C12" s="21" t="s">
        <v>13</v>
      </c>
      <c r="D12" s="21" t="s">
        <v>13</v>
      </c>
      <c r="E12" s="21" t="s">
        <v>31</v>
      </c>
      <c r="F12" s="21" t="s">
        <v>31</v>
      </c>
      <c r="G12" s="21" t="s">
        <v>31</v>
      </c>
      <c r="H12" s="23"/>
      <c r="I12" s="22"/>
    </row>
    <row r="13" ht="15.75" customHeight="1">
      <c r="A13" s="20" t="s">
        <v>41</v>
      </c>
      <c r="B13" s="30" t="s">
        <v>31</v>
      </c>
      <c r="C13" s="21" t="s">
        <v>31</v>
      </c>
      <c r="D13" s="21" t="s">
        <v>31</v>
      </c>
      <c r="E13" s="21" t="s">
        <v>31</v>
      </c>
      <c r="F13" s="21"/>
      <c r="G13" s="21"/>
      <c r="H13" s="21" t="s">
        <v>26</v>
      </c>
      <c r="I13" s="22"/>
    </row>
    <row r="14" ht="15.75" customHeight="1">
      <c r="A14" s="20" t="s">
        <v>42</v>
      </c>
      <c r="B14" s="21" t="s">
        <v>31</v>
      </c>
      <c r="C14" s="21" t="s">
        <v>31</v>
      </c>
      <c r="D14" s="21" t="s">
        <v>32</v>
      </c>
      <c r="E14" s="21"/>
      <c r="F14" s="21" t="s">
        <v>31</v>
      </c>
      <c r="G14" s="21" t="s">
        <v>31</v>
      </c>
      <c r="H14" s="21" t="s">
        <v>31</v>
      </c>
      <c r="I14" s="22"/>
    </row>
    <row r="15" ht="15.75" customHeight="1">
      <c r="A15" s="31" t="s">
        <v>43</v>
      </c>
      <c r="B15" s="23" t="s">
        <v>44</v>
      </c>
      <c r="C15" s="23" t="s">
        <v>44</v>
      </c>
      <c r="D15" s="23" t="s">
        <v>44</v>
      </c>
      <c r="E15" s="21"/>
      <c r="F15" s="23" t="s">
        <v>32</v>
      </c>
      <c r="G15" s="23" t="s">
        <v>32</v>
      </c>
      <c r="H15" s="23" t="s">
        <v>32</v>
      </c>
      <c r="I15" s="22"/>
    </row>
    <row r="16" ht="15.75" customHeight="1">
      <c r="A16" s="20" t="s">
        <v>45</v>
      </c>
      <c r="B16" s="23" t="s">
        <v>46</v>
      </c>
      <c r="C16" s="21"/>
      <c r="D16" s="21"/>
      <c r="E16" s="21"/>
      <c r="F16" s="21"/>
      <c r="G16" s="21"/>
      <c r="H16" s="23" t="s">
        <v>47</v>
      </c>
      <c r="I16" s="22"/>
      <c r="J16" s="6"/>
    </row>
    <row r="17" ht="15.75" customHeight="1">
      <c r="A17" s="32" t="s">
        <v>48</v>
      </c>
      <c r="B17" s="33" t="s">
        <v>20</v>
      </c>
      <c r="C17" s="33" t="s">
        <v>20</v>
      </c>
      <c r="D17" s="34" t="s">
        <v>20</v>
      </c>
      <c r="E17" s="33" t="s">
        <v>20</v>
      </c>
      <c r="F17" s="33" t="s">
        <v>20</v>
      </c>
      <c r="G17" s="33" t="s">
        <v>20</v>
      </c>
      <c r="H17" s="33"/>
      <c r="I17" s="22"/>
    </row>
    <row r="18" ht="15.75" customHeight="1">
      <c r="A18" s="35" t="s">
        <v>49</v>
      </c>
      <c r="B18" s="36" t="s">
        <v>20</v>
      </c>
      <c r="C18" s="36" t="s">
        <v>20</v>
      </c>
      <c r="D18" s="36" t="s">
        <v>20</v>
      </c>
      <c r="E18" s="36" t="s">
        <v>20</v>
      </c>
      <c r="F18" s="36" t="s">
        <v>20</v>
      </c>
      <c r="G18" s="36"/>
      <c r="H18" s="36" t="s">
        <v>50</v>
      </c>
      <c r="I18" s="22"/>
    </row>
    <row r="19" ht="15.75" customHeight="1">
      <c r="A19" s="35" t="s">
        <v>51</v>
      </c>
      <c r="B19" s="36" t="s">
        <v>20</v>
      </c>
      <c r="C19" s="36" t="s">
        <v>20</v>
      </c>
      <c r="D19" s="36" t="s">
        <v>20</v>
      </c>
      <c r="E19" s="36" t="s">
        <v>20</v>
      </c>
      <c r="F19" s="36"/>
      <c r="G19" s="36" t="s">
        <v>20</v>
      </c>
      <c r="H19" s="36" t="s">
        <v>20</v>
      </c>
      <c r="I19" s="22"/>
    </row>
    <row r="20" ht="15.75" customHeight="1">
      <c r="A20" s="37" t="s">
        <v>52</v>
      </c>
      <c r="B20" s="38" t="s">
        <v>50</v>
      </c>
      <c r="C20" s="29"/>
      <c r="D20" s="38" t="s">
        <v>50</v>
      </c>
      <c r="E20" s="38" t="s">
        <v>50</v>
      </c>
      <c r="F20" s="38" t="s">
        <v>50</v>
      </c>
      <c r="G20" s="29"/>
      <c r="H20" s="29"/>
      <c r="I20" s="22"/>
      <c r="J20" s="6" t="s">
        <v>53</v>
      </c>
    </row>
    <row r="21" ht="15.75" customHeight="1">
      <c r="A21" s="35" t="s">
        <v>54</v>
      </c>
      <c r="B21" s="21" t="s">
        <v>31</v>
      </c>
      <c r="C21" s="21" t="s">
        <v>31</v>
      </c>
      <c r="D21" s="21"/>
      <c r="E21" s="21" t="s">
        <v>13</v>
      </c>
      <c r="F21" s="21" t="s">
        <v>13</v>
      </c>
      <c r="G21" s="23" t="s">
        <v>31</v>
      </c>
      <c r="H21" s="36" t="s">
        <v>20</v>
      </c>
      <c r="I21" s="22"/>
    </row>
    <row r="22" ht="15.75" customHeight="1">
      <c r="A22" s="35" t="s">
        <v>55</v>
      </c>
      <c r="B22" s="21"/>
      <c r="C22" s="23" t="s">
        <v>24</v>
      </c>
      <c r="D22" s="23" t="s">
        <v>13</v>
      </c>
      <c r="E22" s="23" t="s">
        <v>13</v>
      </c>
      <c r="F22" s="23" t="s">
        <v>13</v>
      </c>
      <c r="G22" s="23" t="s">
        <v>13</v>
      </c>
      <c r="H22" s="23" t="s">
        <v>13</v>
      </c>
      <c r="I22" s="22"/>
    </row>
    <row r="23" ht="15.75" customHeight="1">
      <c r="A23" s="39" t="s">
        <v>56</v>
      </c>
      <c r="B23" s="23" t="s">
        <v>31</v>
      </c>
      <c r="C23" s="23" t="s">
        <v>31</v>
      </c>
      <c r="D23" s="23" t="s">
        <v>31</v>
      </c>
      <c r="E23" s="23"/>
      <c r="F23" s="23" t="s">
        <v>31</v>
      </c>
      <c r="G23" s="40" t="s">
        <v>20</v>
      </c>
      <c r="H23" s="23" t="s">
        <v>31</v>
      </c>
      <c r="I23" s="22"/>
    </row>
    <row r="24" ht="15.75" customHeight="1">
      <c r="A24" s="39" t="s">
        <v>57</v>
      </c>
      <c r="B24" s="36" t="s">
        <v>20</v>
      </c>
      <c r="C24" s="23" t="s">
        <v>31</v>
      </c>
      <c r="D24" s="36" t="s">
        <v>20</v>
      </c>
      <c r="E24" s="36" t="s">
        <v>20</v>
      </c>
      <c r="F24" s="40" t="s">
        <v>21</v>
      </c>
      <c r="G24" s="40" t="s">
        <v>20</v>
      </c>
      <c r="H24" s="21"/>
      <c r="I24" s="22"/>
    </row>
    <row r="25" ht="15.75" customHeight="1">
      <c r="A25" s="39" t="s">
        <v>58</v>
      </c>
      <c r="B25" s="21"/>
      <c r="C25" s="23"/>
      <c r="D25" s="21"/>
      <c r="E25" s="21"/>
      <c r="F25" s="21"/>
      <c r="G25" s="21" t="s">
        <v>31</v>
      </c>
      <c r="H25" s="21"/>
      <c r="I25" s="22"/>
    </row>
    <row r="26" ht="15.75" customHeight="1">
      <c r="A26" s="41"/>
      <c r="B26" s="42"/>
      <c r="C26" s="42"/>
      <c r="D26" s="23"/>
      <c r="E26" s="43"/>
      <c r="F26" s="43"/>
      <c r="G26" s="23"/>
      <c r="H26" s="42"/>
      <c r="I26" s="22"/>
    </row>
    <row r="27" ht="15.75" customHeight="1">
      <c r="A27" s="44" t="s">
        <v>59</v>
      </c>
      <c r="B27" s="45">
        <f t="shared" ref="B27:G27" si="2">COUNTA(B5:B26)</f>
        <v>16</v>
      </c>
      <c r="C27" s="45">
        <f t="shared" si="2"/>
        <v>16</v>
      </c>
      <c r="D27" s="45">
        <f t="shared" si="2"/>
        <v>16</v>
      </c>
      <c r="E27" s="45">
        <f t="shared" si="2"/>
        <v>15</v>
      </c>
      <c r="F27" s="45">
        <f t="shared" si="2"/>
        <v>16</v>
      </c>
      <c r="G27" s="45">
        <f t="shared" si="2"/>
        <v>16</v>
      </c>
      <c r="H27" s="45">
        <f>COUNTA(H5:H26)+1</f>
        <v>15</v>
      </c>
      <c r="I27" s="18"/>
      <c r="K27" s="4"/>
    </row>
    <row r="28" ht="15.75" customHeight="1">
      <c r="A28" s="46" t="s">
        <v>60</v>
      </c>
      <c r="B28" s="47">
        <v>5.0</v>
      </c>
      <c r="C28" s="47">
        <v>5.0</v>
      </c>
      <c r="D28" s="48">
        <v>5.0</v>
      </c>
      <c r="E28" s="48">
        <v>5.0</v>
      </c>
      <c r="F28" s="47">
        <v>6.0</v>
      </c>
      <c r="G28" s="48">
        <v>5.0</v>
      </c>
      <c r="H28" s="48">
        <v>5.0</v>
      </c>
      <c r="I28" s="49"/>
      <c r="K28" s="4"/>
    </row>
    <row r="29" ht="15.75" customHeight="1">
      <c r="A29" s="50" t="s">
        <v>61</v>
      </c>
      <c r="B29" s="51" t="s">
        <v>62</v>
      </c>
      <c r="C29" s="51" t="s">
        <v>62</v>
      </c>
      <c r="D29" s="52"/>
      <c r="E29" s="51" t="s">
        <v>63</v>
      </c>
      <c r="F29" s="53" t="s">
        <v>64</v>
      </c>
      <c r="G29" s="53" t="s">
        <v>64</v>
      </c>
      <c r="H29" s="51" t="s">
        <v>62</v>
      </c>
      <c r="I29" s="22"/>
      <c r="K29" s="19"/>
    </row>
    <row r="30" ht="15.75" customHeight="1">
      <c r="A30" s="24" t="s">
        <v>65</v>
      </c>
      <c r="B30" s="21"/>
      <c r="C30" s="21"/>
      <c r="D30" s="21" t="s">
        <v>66</v>
      </c>
      <c r="E30" s="23" t="s">
        <v>67</v>
      </c>
      <c r="F30" s="21" t="s">
        <v>63</v>
      </c>
      <c r="G30" s="54" t="s">
        <v>62</v>
      </c>
      <c r="H30" s="54" t="s">
        <v>68</v>
      </c>
      <c r="I30" s="22"/>
      <c r="K30" s="19" t="s">
        <v>69</v>
      </c>
    </row>
    <row r="31" ht="15.75" customHeight="1">
      <c r="A31" s="24" t="s">
        <v>70</v>
      </c>
      <c r="B31" s="21"/>
      <c r="C31" s="55" t="s">
        <v>68</v>
      </c>
      <c r="D31" s="21" t="s">
        <v>62</v>
      </c>
      <c r="E31" s="21" t="s">
        <v>62</v>
      </c>
      <c r="F31" s="30" t="s">
        <v>32</v>
      </c>
      <c r="G31" s="21" t="s">
        <v>32</v>
      </c>
      <c r="H31" s="21"/>
      <c r="I31" s="22"/>
    </row>
    <row r="32" ht="15.75" customHeight="1">
      <c r="A32" s="24" t="s">
        <v>71</v>
      </c>
      <c r="B32" s="36" t="s">
        <v>62</v>
      </c>
      <c r="C32" s="21" t="s">
        <v>68</v>
      </c>
      <c r="D32" s="21" t="s">
        <v>68</v>
      </c>
      <c r="E32" s="56"/>
      <c r="F32" s="40" t="s">
        <v>72</v>
      </c>
      <c r="G32" s="23" t="s">
        <v>73</v>
      </c>
      <c r="H32" s="23" t="s">
        <v>67</v>
      </c>
      <c r="I32" s="22"/>
    </row>
    <row r="33" ht="15.75" customHeight="1">
      <c r="A33" s="20" t="s">
        <v>74</v>
      </c>
      <c r="B33" s="21" t="s">
        <v>67</v>
      </c>
      <c r="C33" s="21" t="s">
        <v>67</v>
      </c>
      <c r="D33" s="21" t="s">
        <v>67</v>
      </c>
      <c r="E33" s="21"/>
      <c r="F33" s="21" t="s">
        <v>67</v>
      </c>
      <c r="G33" s="21" t="s">
        <v>67</v>
      </c>
      <c r="H33" s="21"/>
      <c r="I33" s="22"/>
    </row>
    <row r="34" ht="15.75" customHeight="1">
      <c r="A34" s="20" t="s">
        <v>75</v>
      </c>
      <c r="B34" s="21"/>
      <c r="C34" s="21" t="s">
        <v>68</v>
      </c>
      <c r="D34" s="21" t="s">
        <v>68</v>
      </c>
      <c r="E34" s="21" t="s">
        <v>76</v>
      </c>
      <c r="F34" s="21" t="s">
        <v>63</v>
      </c>
      <c r="G34" s="21" t="s">
        <v>63</v>
      </c>
      <c r="H34" s="21" t="s">
        <v>77</v>
      </c>
      <c r="I34" s="22"/>
    </row>
    <row r="35" ht="15.75" customHeight="1">
      <c r="A35" s="20" t="s">
        <v>78</v>
      </c>
      <c r="B35" s="23" t="s">
        <v>79</v>
      </c>
      <c r="C35" s="21"/>
      <c r="D35" s="13" t="s">
        <v>67</v>
      </c>
      <c r="E35" s="23" t="s">
        <v>68</v>
      </c>
      <c r="G35" s="2"/>
      <c r="H35" s="21" t="s">
        <v>66</v>
      </c>
      <c r="I35" s="22"/>
    </row>
    <row r="36" ht="15.75" customHeight="1">
      <c r="A36" s="20" t="s">
        <v>80</v>
      </c>
      <c r="B36" s="23" t="s">
        <v>81</v>
      </c>
      <c r="C36" s="23" t="s">
        <v>81</v>
      </c>
      <c r="D36" s="23"/>
      <c r="E36" s="57"/>
      <c r="F36" s="23" t="s">
        <v>82</v>
      </c>
      <c r="G36" s="23"/>
      <c r="H36" s="23" t="s">
        <v>83</v>
      </c>
      <c r="I36" s="22"/>
    </row>
    <row r="37" ht="15.75" customHeight="1">
      <c r="A37" s="20" t="s">
        <v>84</v>
      </c>
      <c r="B37" s="23" t="s">
        <v>85</v>
      </c>
      <c r="C37" s="21"/>
      <c r="D37" s="21"/>
      <c r="E37" s="21" t="s">
        <v>86</v>
      </c>
      <c r="F37" s="23" t="s">
        <v>66</v>
      </c>
      <c r="G37" s="21" t="s">
        <v>87</v>
      </c>
      <c r="H37" s="23" t="s">
        <v>85</v>
      </c>
      <c r="I37" s="22"/>
    </row>
    <row r="38" ht="15.75" customHeight="1">
      <c r="A38" s="20" t="s">
        <v>45</v>
      </c>
      <c r="B38" s="23"/>
      <c r="C38" s="21" t="s">
        <v>79</v>
      </c>
      <c r="D38" s="21"/>
      <c r="E38" s="21" t="s">
        <v>88</v>
      </c>
      <c r="F38" s="21" t="s">
        <v>82</v>
      </c>
      <c r="G38" s="30" t="s">
        <v>63</v>
      </c>
      <c r="H38" s="23"/>
      <c r="I38" s="22"/>
      <c r="J38" s="6"/>
    </row>
    <row r="39" ht="15.75" customHeight="1">
      <c r="A39" s="20" t="s">
        <v>89</v>
      </c>
      <c r="B39" s="21" t="s">
        <v>67</v>
      </c>
      <c r="C39" s="21" t="s">
        <v>67</v>
      </c>
      <c r="D39" s="21" t="s">
        <v>67</v>
      </c>
      <c r="E39" s="23" t="s">
        <v>90</v>
      </c>
      <c r="F39" s="21"/>
      <c r="G39" s="23" t="s">
        <v>67</v>
      </c>
      <c r="H39" s="56"/>
      <c r="I39" s="22"/>
    </row>
    <row r="40" ht="15.75" customHeight="1">
      <c r="A40" s="20" t="s">
        <v>91</v>
      </c>
      <c r="B40" s="23" t="s">
        <v>68</v>
      </c>
      <c r="C40" s="23" t="s">
        <v>79</v>
      </c>
      <c r="D40" s="23" t="s">
        <v>92</v>
      </c>
      <c r="E40" s="21"/>
      <c r="F40" s="23" t="s">
        <v>63</v>
      </c>
      <c r="G40" s="23" t="s">
        <v>62</v>
      </c>
      <c r="H40" s="23" t="s">
        <v>68</v>
      </c>
      <c r="I40" s="22"/>
    </row>
    <row r="41" ht="15.75" customHeight="1">
      <c r="A41" s="31" t="s">
        <v>93</v>
      </c>
      <c r="B41" s="23" t="s">
        <v>68</v>
      </c>
      <c r="C41" s="23" t="s">
        <v>68</v>
      </c>
      <c r="D41" s="21"/>
      <c r="E41" s="23" t="s">
        <v>68</v>
      </c>
      <c r="F41" s="23"/>
      <c r="G41" s="23" t="s">
        <v>62</v>
      </c>
      <c r="H41" s="23" t="s">
        <v>67</v>
      </c>
      <c r="I41" s="22"/>
    </row>
    <row r="42" ht="15.75" customHeight="1">
      <c r="A42" s="35" t="s">
        <v>94</v>
      </c>
      <c r="B42" s="23" t="s">
        <v>68</v>
      </c>
      <c r="C42" s="21" t="s">
        <v>68</v>
      </c>
      <c r="D42" s="23" t="s">
        <v>68</v>
      </c>
      <c r="E42" s="21"/>
      <c r="F42" s="21" t="s">
        <v>95</v>
      </c>
      <c r="G42" s="36" t="s">
        <v>72</v>
      </c>
      <c r="H42" s="36" t="s">
        <v>62</v>
      </c>
      <c r="I42" s="22"/>
    </row>
    <row r="43" ht="15.75" customHeight="1">
      <c r="A43" s="35" t="s">
        <v>96</v>
      </c>
      <c r="B43" s="21"/>
      <c r="C43" s="36" t="s">
        <v>62</v>
      </c>
      <c r="D43" s="36" t="s">
        <v>62</v>
      </c>
      <c r="E43" s="36" t="s">
        <v>63</v>
      </c>
      <c r="F43" s="36" t="s">
        <v>72</v>
      </c>
      <c r="G43" s="36" t="s">
        <v>72</v>
      </c>
      <c r="H43" s="36" t="s">
        <v>62</v>
      </c>
      <c r="I43" s="22"/>
    </row>
    <row r="44" ht="15.75" customHeight="1">
      <c r="A44" s="39" t="s">
        <v>97</v>
      </c>
      <c r="B44" s="36" t="s">
        <v>62</v>
      </c>
      <c r="C44" s="36" t="s">
        <v>62</v>
      </c>
      <c r="D44" s="21"/>
      <c r="E44" s="36" t="s">
        <v>63</v>
      </c>
      <c r="F44" s="21" t="s">
        <v>62</v>
      </c>
      <c r="G44" s="23" t="s">
        <v>62</v>
      </c>
      <c r="H44" s="36" t="s">
        <v>62</v>
      </c>
      <c r="I44" s="22"/>
    </row>
    <row r="45" ht="15.75" customHeight="1">
      <c r="A45" s="32" t="s">
        <v>98</v>
      </c>
      <c r="B45" s="33" t="s">
        <v>86</v>
      </c>
      <c r="C45" s="33" t="s">
        <v>86</v>
      </c>
      <c r="D45" s="34"/>
      <c r="E45" s="33" t="s">
        <v>87</v>
      </c>
      <c r="F45" s="33" t="s">
        <v>99</v>
      </c>
      <c r="G45" s="33" t="s">
        <v>72</v>
      </c>
      <c r="H45" s="33" t="s">
        <v>62</v>
      </c>
      <c r="I45" s="22"/>
    </row>
    <row r="46" ht="15.75" customHeight="1">
      <c r="A46" s="35" t="s">
        <v>100</v>
      </c>
      <c r="B46" s="36" t="s">
        <v>62</v>
      </c>
      <c r="C46" s="36" t="s">
        <v>62</v>
      </c>
      <c r="D46" s="36" t="s">
        <v>62</v>
      </c>
      <c r="E46" s="36" t="s">
        <v>63</v>
      </c>
      <c r="F46" s="21" t="s">
        <v>62</v>
      </c>
      <c r="G46" s="36" t="s">
        <v>72</v>
      </c>
      <c r="H46" s="21"/>
      <c r="I46" s="22"/>
      <c r="J46" s="6"/>
    </row>
    <row r="47" ht="15.75" customHeight="1">
      <c r="A47" s="35" t="s">
        <v>101</v>
      </c>
      <c r="B47" s="21"/>
      <c r="C47" s="36" t="s">
        <v>62</v>
      </c>
      <c r="D47" s="36" t="s">
        <v>62</v>
      </c>
      <c r="E47" s="36" t="s">
        <v>63</v>
      </c>
      <c r="F47" s="36" t="s">
        <v>72</v>
      </c>
      <c r="G47" s="23" t="s">
        <v>62</v>
      </c>
      <c r="H47" s="36" t="s">
        <v>62</v>
      </c>
      <c r="I47" s="22"/>
    </row>
    <row r="48" ht="15.75" customHeight="1">
      <c r="A48" s="39" t="s">
        <v>102</v>
      </c>
      <c r="B48" s="40" t="s">
        <v>62</v>
      </c>
      <c r="C48" s="21"/>
      <c r="D48" s="23" t="s">
        <v>68</v>
      </c>
      <c r="E48" s="23" t="s">
        <v>62</v>
      </c>
      <c r="F48" s="36" t="s">
        <v>72</v>
      </c>
      <c r="G48" s="23" t="s">
        <v>62</v>
      </c>
      <c r="H48" s="23" t="s">
        <v>103</v>
      </c>
      <c r="I48" s="22"/>
    </row>
    <row r="49" ht="15.75" customHeight="1">
      <c r="A49" s="39" t="s">
        <v>104</v>
      </c>
      <c r="B49" s="21"/>
      <c r="C49" s="23"/>
      <c r="D49" s="21"/>
      <c r="E49" s="21"/>
      <c r="F49" s="21" t="s">
        <v>92</v>
      </c>
      <c r="G49" s="21" t="s">
        <v>92</v>
      </c>
      <c r="H49" s="21" t="s">
        <v>83</v>
      </c>
      <c r="I49" s="22"/>
    </row>
    <row r="50" ht="15.75" customHeight="1">
      <c r="A50" s="39" t="s">
        <v>105</v>
      </c>
      <c r="B50" s="36" t="s">
        <v>62</v>
      </c>
      <c r="C50" s="21" t="s">
        <v>68</v>
      </c>
      <c r="D50" s="36" t="s">
        <v>62</v>
      </c>
      <c r="E50" s="40" t="s">
        <v>106</v>
      </c>
      <c r="F50" s="23"/>
      <c r="G50" s="40" t="s">
        <v>64</v>
      </c>
      <c r="H50" s="40" t="s">
        <v>107</v>
      </c>
      <c r="I50" s="22"/>
    </row>
    <row r="51" ht="15.75" customHeight="1">
      <c r="A51" s="41" t="s">
        <v>108</v>
      </c>
      <c r="B51" s="23" t="s">
        <v>67</v>
      </c>
      <c r="C51" s="42"/>
      <c r="D51" s="36" t="s">
        <v>62</v>
      </c>
      <c r="E51" s="42" t="s">
        <v>109</v>
      </c>
      <c r="F51" s="42" t="s">
        <v>85</v>
      </c>
      <c r="G51" s="42" t="s">
        <v>85</v>
      </c>
      <c r="H51" s="42" t="s">
        <v>109</v>
      </c>
      <c r="I51" s="22"/>
    </row>
    <row r="52" ht="15.75" customHeight="1">
      <c r="A52" s="58" t="s">
        <v>110</v>
      </c>
      <c r="B52" s="59">
        <f t="shared" ref="B52:E52" si="3">COUNTA(B30:B51)</f>
        <v>15</v>
      </c>
      <c r="C52" s="59">
        <f t="shared" si="3"/>
        <v>16</v>
      </c>
      <c r="D52" s="59">
        <f t="shared" si="3"/>
        <v>15</v>
      </c>
      <c r="E52" s="59">
        <f t="shared" si="3"/>
        <v>16</v>
      </c>
      <c r="F52" s="59">
        <f t="shared" ref="F52:H52" si="4">COUNTA(F30:F51)-1</f>
        <v>17</v>
      </c>
      <c r="G52" s="59">
        <f t="shared" si="4"/>
        <v>19</v>
      </c>
      <c r="H52" s="59">
        <f t="shared" si="4"/>
        <v>16</v>
      </c>
      <c r="I52" s="60"/>
      <c r="K52" s="4"/>
    </row>
    <row r="53" ht="15.75" customHeight="1">
      <c r="A53" s="61" t="s">
        <v>111</v>
      </c>
      <c r="B53" s="62">
        <v>5.0</v>
      </c>
      <c r="C53" s="62">
        <v>5.0</v>
      </c>
      <c r="D53" s="62">
        <v>5.0</v>
      </c>
      <c r="E53" s="62">
        <v>6.0</v>
      </c>
      <c r="F53" s="62">
        <v>5.0</v>
      </c>
      <c r="G53" s="62">
        <v>5.0</v>
      </c>
      <c r="H53" s="62">
        <v>6.0</v>
      </c>
      <c r="I53" s="63"/>
      <c r="K53" s="4"/>
    </row>
    <row r="54" ht="15.75" customHeight="1">
      <c r="A54" s="64"/>
      <c r="B54" s="2"/>
      <c r="C54" s="2"/>
      <c r="D54" s="2"/>
      <c r="E54" s="2"/>
      <c r="F54" s="2"/>
      <c r="G54" s="2"/>
      <c r="H54" s="2"/>
      <c r="I54" s="4"/>
      <c r="J54" s="4"/>
      <c r="K54" s="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 gridLines="1" horizontalCentered="1"/>
  <pageMargins bottom="0.23404255319148937" footer="0.0" header="0.0" left="0.35575679172056923" right="0.34152652005174644" top="0.16578014184397163"/>
  <pageSetup fitToWidth="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0"/>
    <col customWidth="1" min="2" max="2" width="16.86"/>
    <col customWidth="1" min="3" max="3" width="22.71"/>
    <col customWidth="1" min="4" max="4" width="11.43"/>
    <col customWidth="1" min="5" max="5" width="12.14"/>
    <col customWidth="1" min="6" max="6" width="15.71"/>
    <col customWidth="1" min="7" max="7" width="12.14"/>
  </cols>
  <sheetData>
    <row r="1" ht="15.75" customHeight="1">
      <c r="A1" s="4" t="s">
        <v>112</v>
      </c>
      <c r="F1" s="65"/>
      <c r="G1" s="2"/>
    </row>
    <row r="2" ht="15.75" customHeight="1">
      <c r="F2" s="65"/>
      <c r="G2" s="2"/>
    </row>
    <row r="3" ht="15.75" customHeight="1">
      <c r="A3" s="66" t="s">
        <v>113</v>
      </c>
      <c r="B3" s="66" t="s">
        <v>114</v>
      </c>
      <c r="C3" s="66" t="s">
        <v>115</v>
      </c>
      <c r="D3" s="66" t="s">
        <v>116</v>
      </c>
      <c r="E3" s="66" t="s">
        <v>117</v>
      </c>
      <c r="F3" s="67" t="s">
        <v>118</v>
      </c>
      <c r="G3" s="68">
        <v>2023.0</v>
      </c>
    </row>
    <row r="4" ht="15.75" customHeight="1">
      <c r="A4" s="69" t="s">
        <v>119</v>
      </c>
      <c r="B4" s="69" t="s">
        <v>120</v>
      </c>
      <c r="C4" s="69" t="s">
        <v>121</v>
      </c>
      <c r="D4" s="70">
        <v>42370.0</v>
      </c>
      <c r="E4" s="70">
        <f t="shared" ref="E4:E43" si="1">TODAY()</f>
        <v>46213</v>
      </c>
      <c r="F4" s="71">
        <f t="shared" ref="F4:F43" si="2">(E4-D4)/365</f>
        <v>10.52876712</v>
      </c>
      <c r="G4" s="72" t="s">
        <v>122</v>
      </c>
    </row>
    <row r="5" ht="15.75" customHeight="1">
      <c r="A5" s="69" t="s">
        <v>123</v>
      </c>
      <c r="B5" s="69" t="s">
        <v>124</v>
      </c>
      <c r="C5" s="69" t="s">
        <v>121</v>
      </c>
      <c r="D5" s="70">
        <v>42370.0</v>
      </c>
      <c r="E5" s="70">
        <f t="shared" si="1"/>
        <v>46213</v>
      </c>
      <c r="F5" s="71">
        <f t="shared" si="2"/>
        <v>10.52876712</v>
      </c>
      <c r="G5" s="72"/>
    </row>
    <row r="6" ht="15.75" customHeight="1">
      <c r="A6" s="69" t="s">
        <v>125</v>
      </c>
      <c r="B6" s="69" t="s">
        <v>126</v>
      </c>
      <c r="C6" s="69" t="s">
        <v>121</v>
      </c>
      <c r="D6" s="70">
        <v>42370.0</v>
      </c>
      <c r="E6" s="70">
        <f t="shared" si="1"/>
        <v>46213</v>
      </c>
      <c r="F6" s="71">
        <f t="shared" si="2"/>
        <v>10.52876712</v>
      </c>
      <c r="G6" s="72"/>
    </row>
    <row r="7" ht="15.75" customHeight="1">
      <c r="A7" s="69" t="s">
        <v>127</v>
      </c>
      <c r="B7" s="69" t="s">
        <v>128</v>
      </c>
      <c r="C7" s="69" t="s">
        <v>121</v>
      </c>
      <c r="D7" s="70">
        <v>42975.0</v>
      </c>
      <c r="E7" s="70">
        <f t="shared" si="1"/>
        <v>46213</v>
      </c>
      <c r="F7" s="71">
        <f t="shared" si="2"/>
        <v>8.871232877</v>
      </c>
      <c r="G7" s="72"/>
    </row>
    <row r="8" ht="15.75" customHeight="1">
      <c r="A8" s="69" t="s">
        <v>129</v>
      </c>
      <c r="B8" s="69" t="s">
        <v>130</v>
      </c>
      <c r="C8" s="69" t="s">
        <v>121</v>
      </c>
      <c r="D8" s="70">
        <v>42975.0</v>
      </c>
      <c r="E8" s="70">
        <f t="shared" si="1"/>
        <v>46213</v>
      </c>
      <c r="F8" s="71">
        <f t="shared" si="2"/>
        <v>8.871232877</v>
      </c>
      <c r="G8" s="72"/>
    </row>
    <row r="9" ht="15.75" customHeight="1">
      <c r="A9" s="69" t="s">
        <v>131</v>
      </c>
      <c r="B9" s="69" t="s">
        <v>132</v>
      </c>
      <c r="C9" s="69" t="s">
        <v>121</v>
      </c>
      <c r="D9" s="70">
        <v>42979.0</v>
      </c>
      <c r="E9" s="70">
        <f t="shared" si="1"/>
        <v>46213</v>
      </c>
      <c r="F9" s="71">
        <f t="shared" si="2"/>
        <v>8.860273973</v>
      </c>
      <c r="G9" s="72" t="s">
        <v>133</v>
      </c>
    </row>
    <row r="10" ht="15.75" customHeight="1">
      <c r="A10" s="69" t="s">
        <v>134</v>
      </c>
      <c r="B10" s="69" t="s">
        <v>135</v>
      </c>
      <c r="C10" s="69" t="s">
        <v>121</v>
      </c>
      <c r="D10" s="70">
        <v>43024.0</v>
      </c>
      <c r="E10" s="70">
        <f t="shared" si="1"/>
        <v>46213</v>
      </c>
      <c r="F10" s="71">
        <f t="shared" si="2"/>
        <v>8.736986301</v>
      </c>
      <c r="G10" s="72"/>
    </row>
    <row r="11" ht="15.75" customHeight="1">
      <c r="A11" s="69" t="s">
        <v>136</v>
      </c>
      <c r="B11" s="69" t="s">
        <v>137</v>
      </c>
      <c r="C11" s="69" t="s">
        <v>121</v>
      </c>
      <c r="D11" s="70">
        <v>43225.0</v>
      </c>
      <c r="E11" s="70">
        <f t="shared" si="1"/>
        <v>46213</v>
      </c>
      <c r="F11" s="71">
        <f t="shared" si="2"/>
        <v>8.18630137</v>
      </c>
      <c r="G11" s="72"/>
    </row>
    <row r="12" ht="15.75" customHeight="1">
      <c r="A12" s="69" t="s">
        <v>138</v>
      </c>
      <c r="B12" s="69" t="s">
        <v>139</v>
      </c>
      <c r="C12" s="69" t="s">
        <v>121</v>
      </c>
      <c r="D12" s="70">
        <v>43434.0</v>
      </c>
      <c r="E12" s="70">
        <f t="shared" si="1"/>
        <v>46213</v>
      </c>
      <c r="F12" s="71">
        <f t="shared" si="2"/>
        <v>7.61369863</v>
      </c>
      <c r="G12" s="72"/>
    </row>
    <row r="13" ht="15.75" customHeight="1">
      <c r="A13" s="69" t="s">
        <v>140</v>
      </c>
      <c r="B13" s="69" t="s">
        <v>141</v>
      </c>
      <c r="C13" s="69" t="s">
        <v>142</v>
      </c>
      <c r="D13" s="70">
        <v>43815.0</v>
      </c>
      <c r="E13" s="70">
        <f t="shared" si="1"/>
        <v>46213</v>
      </c>
      <c r="F13" s="71">
        <f t="shared" si="2"/>
        <v>6.569863014</v>
      </c>
      <c r="G13" s="73" t="s">
        <v>143</v>
      </c>
    </row>
    <row r="14" ht="15.75" customHeight="1">
      <c r="A14" s="69" t="s">
        <v>144</v>
      </c>
      <c r="B14" s="69" t="s">
        <v>145</v>
      </c>
      <c r="C14" s="69" t="s">
        <v>142</v>
      </c>
      <c r="D14" s="70">
        <v>43822.0</v>
      </c>
      <c r="E14" s="70">
        <f t="shared" si="1"/>
        <v>46213</v>
      </c>
      <c r="F14" s="71">
        <f t="shared" si="2"/>
        <v>6.550684932</v>
      </c>
      <c r="G14" s="72"/>
    </row>
    <row r="15" ht="15.75" customHeight="1">
      <c r="A15" s="69" t="s">
        <v>146</v>
      </c>
      <c r="B15" s="69" t="s">
        <v>147</v>
      </c>
      <c r="C15" s="69" t="s">
        <v>121</v>
      </c>
      <c r="D15" s="70">
        <v>43850.0</v>
      </c>
      <c r="E15" s="70">
        <f t="shared" si="1"/>
        <v>46213</v>
      </c>
      <c r="F15" s="71">
        <f t="shared" si="2"/>
        <v>6.473972603</v>
      </c>
      <c r="G15" s="73" t="s">
        <v>148</v>
      </c>
    </row>
    <row r="16" ht="15.75" customHeight="1">
      <c r="A16" s="69" t="s">
        <v>149</v>
      </c>
      <c r="B16" s="69" t="s">
        <v>150</v>
      </c>
      <c r="C16" s="69" t="s">
        <v>121</v>
      </c>
      <c r="D16" s="70">
        <v>44036.0</v>
      </c>
      <c r="E16" s="70">
        <f t="shared" si="1"/>
        <v>46213</v>
      </c>
      <c r="F16" s="71">
        <f t="shared" si="2"/>
        <v>5.964383562</v>
      </c>
      <c r="G16" s="72"/>
    </row>
    <row r="17" ht="15.75" customHeight="1">
      <c r="A17" s="69" t="s">
        <v>151</v>
      </c>
      <c r="B17" s="69" t="s">
        <v>147</v>
      </c>
      <c r="C17" s="69" t="s">
        <v>121</v>
      </c>
      <c r="D17" s="70">
        <v>44091.0</v>
      </c>
      <c r="E17" s="70">
        <f t="shared" si="1"/>
        <v>46213</v>
      </c>
      <c r="F17" s="71">
        <f t="shared" si="2"/>
        <v>5.81369863</v>
      </c>
      <c r="G17" s="73" t="s">
        <v>152</v>
      </c>
    </row>
    <row r="18" ht="15.75" customHeight="1">
      <c r="A18" s="69" t="s">
        <v>153</v>
      </c>
      <c r="B18" s="69" t="s">
        <v>154</v>
      </c>
      <c r="C18" s="69" t="s">
        <v>121</v>
      </c>
      <c r="D18" s="70">
        <v>44208.0</v>
      </c>
      <c r="E18" s="70">
        <f t="shared" si="1"/>
        <v>46213</v>
      </c>
      <c r="F18" s="71">
        <f t="shared" si="2"/>
        <v>5.493150685</v>
      </c>
      <c r="G18" s="72"/>
    </row>
    <row r="19" ht="15.75" customHeight="1">
      <c r="A19" s="69" t="s">
        <v>155</v>
      </c>
      <c r="B19" s="69" t="s">
        <v>147</v>
      </c>
      <c r="C19" s="69" t="s">
        <v>121</v>
      </c>
      <c r="D19" s="70">
        <v>44218.0</v>
      </c>
      <c r="E19" s="70">
        <f t="shared" si="1"/>
        <v>46213</v>
      </c>
      <c r="F19" s="71">
        <f t="shared" si="2"/>
        <v>5.465753425</v>
      </c>
      <c r="G19" s="72"/>
    </row>
    <row r="20" ht="15.75" customHeight="1">
      <c r="A20" s="69" t="s">
        <v>156</v>
      </c>
      <c r="B20" s="69" t="s">
        <v>157</v>
      </c>
      <c r="C20" s="69" t="s">
        <v>121</v>
      </c>
      <c r="D20" s="70">
        <v>44221.0</v>
      </c>
      <c r="E20" s="70">
        <f t="shared" si="1"/>
        <v>46213</v>
      </c>
      <c r="F20" s="71">
        <f t="shared" si="2"/>
        <v>5.457534247</v>
      </c>
      <c r="G20" s="72"/>
    </row>
    <row r="21" ht="15.75" customHeight="1">
      <c r="A21" s="69" t="s">
        <v>158</v>
      </c>
      <c r="B21" s="69" t="s">
        <v>145</v>
      </c>
      <c r="C21" s="69" t="s">
        <v>121</v>
      </c>
      <c r="D21" s="70">
        <v>44452.0</v>
      </c>
      <c r="E21" s="70">
        <f t="shared" si="1"/>
        <v>46213</v>
      </c>
      <c r="F21" s="71">
        <f t="shared" si="2"/>
        <v>4.824657534</v>
      </c>
      <c r="G21" s="72"/>
    </row>
    <row r="22" ht="15.75" customHeight="1">
      <c r="A22" s="69" t="s">
        <v>159</v>
      </c>
      <c r="B22" s="69" t="s">
        <v>160</v>
      </c>
      <c r="C22" s="69" t="s">
        <v>121</v>
      </c>
      <c r="D22" s="70">
        <v>44467.0</v>
      </c>
      <c r="E22" s="70">
        <f t="shared" si="1"/>
        <v>46213</v>
      </c>
      <c r="F22" s="71">
        <f t="shared" si="2"/>
        <v>4.783561644</v>
      </c>
      <c r="G22" s="72"/>
    </row>
    <row r="23" ht="15.75" customHeight="1">
      <c r="A23" s="69" t="s">
        <v>161</v>
      </c>
      <c r="B23" s="69" t="s">
        <v>162</v>
      </c>
      <c r="C23" s="69" t="s">
        <v>121</v>
      </c>
      <c r="D23" s="70">
        <v>44536.0</v>
      </c>
      <c r="E23" s="70">
        <f t="shared" si="1"/>
        <v>46213</v>
      </c>
      <c r="F23" s="71">
        <f t="shared" si="2"/>
        <v>4.594520548</v>
      </c>
      <c r="G23" s="72"/>
    </row>
    <row r="24" ht="15.75" customHeight="1">
      <c r="A24" s="69" t="s">
        <v>163</v>
      </c>
      <c r="B24" s="69" t="s">
        <v>164</v>
      </c>
      <c r="C24" s="69" t="s">
        <v>121</v>
      </c>
      <c r="D24" s="70">
        <v>44544.0</v>
      </c>
      <c r="E24" s="70">
        <f t="shared" si="1"/>
        <v>46213</v>
      </c>
      <c r="F24" s="71">
        <f t="shared" si="2"/>
        <v>4.57260274</v>
      </c>
      <c r="G24" s="72"/>
    </row>
    <row r="25" ht="15.75" customHeight="1">
      <c r="A25" s="69" t="s">
        <v>165</v>
      </c>
      <c r="B25" s="69" t="s">
        <v>166</v>
      </c>
      <c r="C25" s="69" t="s">
        <v>121</v>
      </c>
      <c r="D25" s="70">
        <v>44553.0</v>
      </c>
      <c r="E25" s="70">
        <f t="shared" si="1"/>
        <v>46213</v>
      </c>
      <c r="F25" s="71">
        <f t="shared" si="2"/>
        <v>4.547945205</v>
      </c>
      <c r="G25" s="73" t="s">
        <v>167</v>
      </c>
    </row>
    <row r="26" ht="15.75" customHeight="1">
      <c r="A26" s="69" t="s">
        <v>168</v>
      </c>
      <c r="B26" s="69" t="s">
        <v>135</v>
      </c>
      <c r="C26" s="69" t="s">
        <v>121</v>
      </c>
      <c r="D26" s="70">
        <v>44609.0</v>
      </c>
      <c r="E26" s="70">
        <f t="shared" si="1"/>
        <v>46213</v>
      </c>
      <c r="F26" s="71">
        <f t="shared" si="2"/>
        <v>4.394520548</v>
      </c>
      <c r="G26" s="72"/>
    </row>
    <row r="27" ht="15.75" customHeight="1">
      <c r="A27" s="69" t="s">
        <v>169</v>
      </c>
      <c r="B27" s="69" t="s">
        <v>170</v>
      </c>
      <c r="C27" s="69" t="s">
        <v>121</v>
      </c>
      <c r="D27" s="70">
        <v>44616.0</v>
      </c>
      <c r="E27" s="70">
        <f t="shared" si="1"/>
        <v>46213</v>
      </c>
      <c r="F27" s="71">
        <f t="shared" si="2"/>
        <v>4.375342466</v>
      </c>
      <c r="G27" s="73" t="s">
        <v>171</v>
      </c>
    </row>
    <row r="28" ht="15.75" customHeight="1">
      <c r="A28" s="69" t="s">
        <v>172</v>
      </c>
      <c r="B28" s="69" t="s">
        <v>173</v>
      </c>
      <c r="C28" s="69" t="s">
        <v>121</v>
      </c>
      <c r="D28" s="70">
        <v>44655.0</v>
      </c>
      <c r="E28" s="70">
        <f t="shared" si="1"/>
        <v>46213</v>
      </c>
      <c r="F28" s="71">
        <f t="shared" si="2"/>
        <v>4.268493151</v>
      </c>
      <c r="G28" s="73" t="s">
        <v>174</v>
      </c>
    </row>
    <row r="29" ht="15.75" customHeight="1">
      <c r="A29" s="69" t="s">
        <v>158</v>
      </c>
      <c r="B29" s="69" t="s">
        <v>175</v>
      </c>
      <c r="C29" s="69" t="s">
        <v>121</v>
      </c>
      <c r="D29" s="70">
        <v>44671.0</v>
      </c>
      <c r="E29" s="70">
        <f t="shared" si="1"/>
        <v>46213</v>
      </c>
      <c r="F29" s="71">
        <f t="shared" si="2"/>
        <v>4.224657534</v>
      </c>
      <c r="G29" s="72" t="s">
        <v>148</v>
      </c>
    </row>
    <row r="30" ht="15.75" customHeight="1">
      <c r="A30" s="69" t="s">
        <v>176</v>
      </c>
      <c r="B30" s="69" t="s">
        <v>177</v>
      </c>
      <c r="C30" s="69" t="s">
        <v>121</v>
      </c>
      <c r="D30" s="70">
        <v>44691.0</v>
      </c>
      <c r="E30" s="70">
        <f t="shared" si="1"/>
        <v>46213</v>
      </c>
      <c r="F30" s="71">
        <f t="shared" si="2"/>
        <v>4.169863014</v>
      </c>
      <c r="G30" s="72" t="s">
        <v>178</v>
      </c>
    </row>
    <row r="31" ht="15.75" customHeight="1">
      <c r="A31" s="69" t="s">
        <v>179</v>
      </c>
      <c r="B31" s="69" t="s">
        <v>180</v>
      </c>
      <c r="C31" s="69" t="s">
        <v>121</v>
      </c>
      <c r="D31" s="70">
        <v>44695.0</v>
      </c>
      <c r="E31" s="70">
        <f t="shared" si="1"/>
        <v>46213</v>
      </c>
      <c r="F31" s="71">
        <f t="shared" si="2"/>
        <v>4.15890411</v>
      </c>
      <c r="G31" s="73" t="s">
        <v>181</v>
      </c>
    </row>
    <row r="32" ht="15.75" customHeight="1">
      <c r="A32" s="69" t="s">
        <v>182</v>
      </c>
      <c r="B32" s="69" t="s">
        <v>183</v>
      </c>
      <c r="C32" s="69" t="s">
        <v>121</v>
      </c>
      <c r="D32" s="70">
        <v>44716.0</v>
      </c>
      <c r="E32" s="70">
        <f t="shared" si="1"/>
        <v>46213</v>
      </c>
      <c r="F32" s="71">
        <f t="shared" si="2"/>
        <v>4.101369863</v>
      </c>
      <c r="G32" s="72"/>
    </row>
    <row r="33" ht="15.75" customHeight="1">
      <c r="A33" s="69" t="s">
        <v>184</v>
      </c>
      <c r="B33" s="69" t="s">
        <v>185</v>
      </c>
      <c r="C33" s="69" t="s">
        <v>121</v>
      </c>
      <c r="D33" s="70">
        <v>44749.0</v>
      </c>
      <c r="E33" s="70">
        <f t="shared" si="1"/>
        <v>46213</v>
      </c>
      <c r="F33" s="71">
        <f t="shared" si="2"/>
        <v>4.010958904</v>
      </c>
      <c r="G33" s="73" t="s">
        <v>186</v>
      </c>
    </row>
    <row r="34" ht="15.75" customHeight="1">
      <c r="A34" s="69" t="s">
        <v>187</v>
      </c>
      <c r="B34" s="69" t="s">
        <v>188</v>
      </c>
      <c r="C34" s="69" t="s">
        <v>121</v>
      </c>
      <c r="D34" s="70">
        <v>44803.0</v>
      </c>
      <c r="E34" s="70">
        <f t="shared" si="1"/>
        <v>46213</v>
      </c>
      <c r="F34" s="71">
        <f t="shared" si="2"/>
        <v>3.863013699</v>
      </c>
      <c r="G34" s="73" t="s">
        <v>152</v>
      </c>
    </row>
    <row r="35" ht="15.75" customHeight="1">
      <c r="A35" s="69" t="s">
        <v>189</v>
      </c>
      <c r="B35" s="69" t="s">
        <v>190</v>
      </c>
      <c r="C35" s="69" t="s">
        <v>121</v>
      </c>
      <c r="D35" s="70">
        <v>44823.0</v>
      </c>
      <c r="E35" s="70">
        <f t="shared" si="1"/>
        <v>46213</v>
      </c>
      <c r="F35" s="71">
        <f t="shared" si="2"/>
        <v>3.808219178</v>
      </c>
      <c r="G35" s="73" t="s">
        <v>191</v>
      </c>
    </row>
    <row r="36" ht="15.75" customHeight="1">
      <c r="A36" s="69" t="s">
        <v>192</v>
      </c>
      <c r="B36" s="69" t="s">
        <v>193</v>
      </c>
      <c r="C36" s="69" t="s">
        <v>121</v>
      </c>
      <c r="D36" s="70">
        <v>44844.0</v>
      </c>
      <c r="E36" s="70">
        <f t="shared" si="1"/>
        <v>46213</v>
      </c>
      <c r="F36" s="71">
        <f t="shared" si="2"/>
        <v>3.750684932</v>
      </c>
      <c r="G36" s="72"/>
    </row>
    <row r="37" ht="15.75" customHeight="1">
      <c r="A37" s="69" t="s">
        <v>194</v>
      </c>
      <c r="B37" s="69" t="s">
        <v>147</v>
      </c>
      <c r="C37" s="69" t="s">
        <v>121</v>
      </c>
      <c r="D37" s="70">
        <v>44846.0</v>
      </c>
      <c r="E37" s="70">
        <f t="shared" si="1"/>
        <v>46213</v>
      </c>
      <c r="F37" s="71">
        <f t="shared" si="2"/>
        <v>3.745205479</v>
      </c>
      <c r="G37" s="72"/>
    </row>
    <row r="38" ht="15.75" customHeight="1">
      <c r="A38" s="74" t="s">
        <v>195</v>
      </c>
      <c r="B38" s="74" t="s">
        <v>147</v>
      </c>
      <c r="C38" s="69" t="s">
        <v>121</v>
      </c>
      <c r="D38" s="75">
        <v>44848.0</v>
      </c>
      <c r="E38" s="70">
        <f t="shared" si="1"/>
        <v>46213</v>
      </c>
      <c r="F38" s="71">
        <f t="shared" si="2"/>
        <v>3.739726027</v>
      </c>
      <c r="G38" s="72"/>
    </row>
    <row r="39" ht="15.75" customHeight="1">
      <c r="A39" s="69" t="s">
        <v>196</v>
      </c>
      <c r="B39" s="69" t="s">
        <v>170</v>
      </c>
      <c r="C39" s="69" t="s">
        <v>121</v>
      </c>
      <c r="D39" s="70">
        <v>44908.0</v>
      </c>
      <c r="E39" s="70">
        <f t="shared" si="1"/>
        <v>46213</v>
      </c>
      <c r="F39" s="71">
        <f t="shared" si="2"/>
        <v>3.575342466</v>
      </c>
      <c r="G39" s="73" t="s">
        <v>191</v>
      </c>
    </row>
    <row r="40" ht="15.75" customHeight="1">
      <c r="A40" s="69" t="s">
        <v>197</v>
      </c>
      <c r="B40" s="69" t="s">
        <v>198</v>
      </c>
      <c r="C40" s="69" t="s">
        <v>121</v>
      </c>
      <c r="D40" s="70">
        <v>45029.0</v>
      </c>
      <c r="E40" s="70">
        <f t="shared" si="1"/>
        <v>46213</v>
      </c>
      <c r="F40" s="71">
        <f t="shared" si="2"/>
        <v>3.243835616</v>
      </c>
      <c r="G40" s="72"/>
    </row>
    <row r="41" ht="15.75" customHeight="1">
      <c r="A41" s="69" t="s">
        <v>199</v>
      </c>
      <c r="B41" s="69" t="s">
        <v>200</v>
      </c>
      <c r="C41" s="69" t="s">
        <v>121</v>
      </c>
      <c r="D41" s="70">
        <v>45041.0</v>
      </c>
      <c r="E41" s="70">
        <f t="shared" si="1"/>
        <v>46213</v>
      </c>
      <c r="F41" s="71">
        <f t="shared" si="2"/>
        <v>3.210958904</v>
      </c>
      <c r="G41" s="72"/>
    </row>
    <row r="42" ht="15.75" customHeight="1">
      <c r="A42" s="69" t="s">
        <v>201</v>
      </c>
      <c r="B42" s="69" t="s">
        <v>202</v>
      </c>
      <c r="C42" s="69" t="s">
        <v>121</v>
      </c>
      <c r="D42" s="70">
        <v>45054.0</v>
      </c>
      <c r="E42" s="70">
        <f t="shared" si="1"/>
        <v>46213</v>
      </c>
      <c r="F42" s="71">
        <f t="shared" si="2"/>
        <v>3.175342466</v>
      </c>
      <c r="G42" s="72"/>
    </row>
    <row r="43" ht="15.75" customHeight="1">
      <c r="A43" s="69" t="s">
        <v>203</v>
      </c>
      <c r="B43" s="69" t="s">
        <v>204</v>
      </c>
      <c r="C43" s="69" t="s">
        <v>121</v>
      </c>
      <c r="D43" s="70">
        <v>45063.0</v>
      </c>
      <c r="E43" s="70">
        <f t="shared" si="1"/>
        <v>46213</v>
      </c>
      <c r="F43" s="71">
        <f t="shared" si="2"/>
        <v>3.150684932</v>
      </c>
      <c r="G43" s="72"/>
    </row>
    <row r="44" ht="15.75" customHeight="1">
      <c r="F44" s="65"/>
      <c r="G44" s="2"/>
    </row>
    <row r="45" ht="15.75" customHeight="1">
      <c r="F45" s="65"/>
      <c r="G45" s="2"/>
    </row>
    <row r="46" ht="15.75" customHeight="1">
      <c r="F46" s="65"/>
      <c r="G46" s="2"/>
    </row>
    <row r="47" ht="15.75" customHeight="1">
      <c r="F47" s="65"/>
      <c r="G47" s="2"/>
    </row>
    <row r="48" ht="15.75" customHeight="1">
      <c r="F48" s="65"/>
      <c r="G48" s="2"/>
    </row>
    <row r="49" ht="15.75" customHeight="1">
      <c r="F49" s="65"/>
      <c r="G49" s="2"/>
    </row>
    <row r="50" ht="15.75" customHeight="1">
      <c r="F50" s="65"/>
      <c r="G50" s="2"/>
    </row>
    <row r="51" ht="15.75" customHeight="1">
      <c r="F51" s="65"/>
      <c r="G51" s="2"/>
    </row>
    <row r="52" ht="15.75" customHeight="1">
      <c r="F52" s="65"/>
      <c r="G52" s="2"/>
    </row>
    <row r="53" ht="15.75" customHeight="1">
      <c r="F53" s="65"/>
      <c r="G53" s="2"/>
    </row>
    <row r="54" ht="15.75" customHeight="1">
      <c r="F54" s="65"/>
      <c r="G54" s="2"/>
    </row>
    <row r="55" ht="15.75" customHeight="1">
      <c r="F55" s="65"/>
      <c r="G55" s="2"/>
    </row>
    <row r="56" ht="15.75" customHeight="1">
      <c r="F56" s="65"/>
      <c r="G56" s="2"/>
    </row>
    <row r="57" ht="15.75" customHeight="1">
      <c r="F57" s="65"/>
      <c r="G57" s="2"/>
    </row>
    <row r="58" ht="15.75" customHeight="1">
      <c r="F58" s="65"/>
      <c r="G58" s="2"/>
    </row>
    <row r="59" ht="15.75" customHeight="1">
      <c r="F59" s="65"/>
      <c r="G59" s="2"/>
    </row>
    <row r="60" ht="15.75" customHeight="1">
      <c r="F60" s="65"/>
      <c r="G60" s="2"/>
    </row>
    <row r="61" ht="15.75" customHeight="1">
      <c r="F61" s="65"/>
      <c r="G61" s="2"/>
    </row>
    <row r="62" ht="15.75" customHeight="1">
      <c r="F62" s="65"/>
      <c r="G62" s="2"/>
    </row>
    <row r="63" ht="15.75" customHeight="1">
      <c r="F63" s="65"/>
      <c r="G63" s="2"/>
    </row>
    <row r="64" ht="15.75" customHeight="1">
      <c r="F64" s="65"/>
      <c r="G64" s="2"/>
    </row>
    <row r="65" ht="15.75" customHeight="1">
      <c r="F65" s="65"/>
      <c r="G65" s="2"/>
    </row>
    <row r="66" ht="15.75" customHeight="1">
      <c r="F66" s="65"/>
      <c r="G66" s="2"/>
    </row>
    <row r="67" ht="15.75" customHeight="1">
      <c r="F67" s="65"/>
      <c r="G67" s="2"/>
    </row>
    <row r="68" ht="15.75" customHeight="1">
      <c r="F68" s="65"/>
      <c r="G68" s="2"/>
    </row>
    <row r="69" ht="15.75" customHeight="1">
      <c r="F69" s="65"/>
      <c r="G69" s="2"/>
    </row>
    <row r="70" ht="15.75" customHeight="1">
      <c r="F70" s="65"/>
      <c r="G70" s="2"/>
    </row>
    <row r="71" ht="15.75" customHeight="1">
      <c r="F71" s="65"/>
      <c r="G71" s="2"/>
    </row>
    <row r="72" ht="15.75" customHeight="1">
      <c r="F72" s="65"/>
      <c r="G72" s="2"/>
    </row>
    <row r="73" ht="15.75" customHeight="1">
      <c r="F73" s="65"/>
      <c r="G73" s="2"/>
    </row>
    <row r="74" ht="15.75" customHeight="1">
      <c r="F74" s="65"/>
      <c r="G74" s="2"/>
    </row>
    <row r="75" ht="15.75" customHeight="1">
      <c r="F75" s="65"/>
      <c r="G75" s="2"/>
    </row>
    <row r="76" ht="15.75" customHeight="1">
      <c r="F76" s="65"/>
      <c r="G76" s="2"/>
    </row>
    <row r="77" ht="15.75" customHeight="1">
      <c r="F77" s="65"/>
      <c r="G77" s="2"/>
    </row>
    <row r="78" ht="15.75" customHeight="1">
      <c r="F78" s="65"/>
      <c r="G78" s="2"/>
    </row>
    <row r="79" ht="15.75" customHeight="1">
      <c r="F79" s="65"/>
      <c r="G79" s="2"/>
    </row>
    <row r="80" ht="15.75" customHeight="1">
      <c r="F80" s="65"/>
      <c r="G80" s="2"/>
    </row>
    <row r="81" ht="15.75" customHeight="1">
      <c r="F81" s="65"/>
      <c r="G81" s="2"/>
    </row>
    <row r="82" ht="15.75" customHeight="1">
      <c r="F82" s="65"/>
      <c r="G82" s="2"/>
    </row>
    <row r="83" ht="15.75" customHeight="1">
      <c r="F83" s="65"/>
      <c r="G83" s="2"/>
    </row>
    <row r="84" ht="15.75" customHeight="1">
      <c r="F84" s="65"/>
      <c r="G84" s="2"/>
    </row>
    <row r="85" ht="15.75" customHeight="1">
      <c r="F85" s="65"/>
      <c r="G85" s="2"/>
    </row>
    <row r="86" ht="15.75" customHeight="1">
      <c r="F86" s="65"/>
      <c r="G86" s="2"/>
    </row>
    <row r="87" ht="15.75" customHeight="1">
      <c r="F87" s="65"/>
      <c r="G87" s="2"/>
    </row>
    <row r="88" ht="15.75" customHeight="1">
      <c r="F88" s="65"/>
      <c r="G88" s="2"/>
    </row>
    <row r="89" ht="15.75" customHeight="1">
      <c r="F89" s="65"/>
      <c r="G89" s="2"/>
    </row>
    <row r="90" ht="15.75" customHeight="1">
      <c r="F90" s="65"/>
      <c r="G90" s="2"/>
    </row>
    <row r="91" ht="15.75" customHeight="1">
      <c r="F91" s="65"/>
      <c r="G91" s="2"/>
    </row>
    <row r="92" ht="15.75" customHeight="1">
      <c r="F92" s="65"/>
      <c r="G92" s="2"/>
    </row>
    <row r="93" ht="15.75" customHeight="1">
      <c r="F93" s="65"/>
      <c r="G93" s="2"/>
    </row>
    <row r="94" ht="15.75" customHeight="1">
      <c r="F94" s="65"/>
      <c r="G94" s="2"/>
    </row>
    <row r="95" ht="15.75" customHeight="1">
      <c r="F95" s="65"/>
      <c r="G95" s="2"/>
    </row>
    <row r="96" ht="15.75" customHeight="1">
      <c r="F96" s="65"/>
      <c r="G96" s="2"/>
    </row>
    <row r="97" ht="15.75" customHeight="1">
      <c r="F97" s="65"/>
      <c r="G97" s="2"/>
    </row>
    <row r="98" ht="15.75" customHeight="1">
      <c r="F98" s="65"/>
      <c r="G98" s="2"/>
    </row>
    <row r="99" ht="15.75" customHeight="1">
      <c r="F99" s="65"/>
      <c r="G99" s="2"/>
    </row>
    <row r="100" ht="15.75" customHeight="1">
      <c r="F100" s="65"/>
      <c r="G100" s="2"/>
    </row>
    <row r="101" ht="15.75" customHeight="1">
      <c r="F101" s="65"/>
      <c r="G101" s="2"/>
    </row>
    <row r="102" ht="15.75" customHeight="1">
      <c r="F102" s="65"/>
      <c r="G102" s="2"/>
    </row>
    <row r="103" ht="15.75" customHeight="1">
      <c r="F103" s="65"/>
      <c r="G103" s="2"/>
    </row>
    <row r="104" ht="15.75" customHeight="1">
      <c r="F104" s="65"/>
      <c r="G104" s="2"/>
    </row>
    <row r="105" ht="15.75" customHeight="1">
      <c r="F105" s="65"/>
      <c r="G105" s="2"/>
    </row>
    <row r="106" ht="15.75" customHeight="1">
      <c r="F106" s="65"/>
      <c r="G106" s="2"/>
    </row>
    <row r="107" ht="15.75" customHeight="1">
      <c r="F107" s="65"/>
      <c r="G107" s="2"/>
    </row>
    <row r="108" ht="15.75" customHeight="1">
      <c r="F108" s="65"/>
      <c r="G108" s="2"/>
    </row>
    <row r="109" ht="15.75" customHeight="1">
      <c r="F109" s="65"/>
      <c r="G109" s="2"/>
    </row>
    <row r="110" ht="15.75" customHeight="1">
      <c r="F110" s="65"/>
      <c r="G110" s="2"/>
    </row>
    <row r="111" ht="15.75" customHeight="1">
      <c r="F111" s="65"/>
      <c r="G111" s="2"/>
    </row>
    <row r="112" ht="15.75" customHeight="1">
      <c r="F112" s="65"/>
      <c r="G112" s="2"/>
    </row>
    <row r="113" ht="15.75" customHeight="1">
      <c r="F113" s="65"/>
      <c r="G113" s="2"/>
    </row>
    <row r="114" ht="15.75" customHeight="1">
      <c r="F114" s="65"/>
      <c r="G114" s="2"/>
    </row>
    <row r="115" ht="15.75" customHeight="1">
      <c r="F115" s="65"/>
      <c r="G115" s="2"/>
    </row>
    <row r="116" ht="15.75" customHeight="1">
      <c r="F116" s="65"/>
      <c r="G116" s="2"/>
    </row>
    <row r="117" ht="15.75" customHeight="1">
      <c r="F117" s="65"/>
      <c r="G117" s="2"/>
    </row>
    <row r="118" ht="15.75" customHeight="1">
      <c r="F118" s="65"/>
      <c r="G118" s="2"/>
    </row>
    <row r="119" ht="15.75" customHeight="1">
      <c r="F119" s="65"/>
      <c r="G119" s="2"/>
    </row>
    <row r="120" ht="15.75" customHeight="1">
      <c r="F120" s="65"/>
      <c r="G120" s="2"/>
    </row>
    <row r="121" ht="15.75" customHeight="1">
      <c r="F121" s="65"/>
      <c r="G121" s="2"/>
    </row>
    <row r="122" ht="15.75" customHeight="1">
      <c r="F122" s="65"/>
      <c r="G122" s="2"/>
    </row>
    <row r="123" ht="15.75" customHeight="1">
      <c r="F123" s="65"/>
      <c r="G123" s="2"/>
    </row>
    <row r="124" ht="15.75" customHeight="1">
      <c r="F124" s="65"/>
      <c r="G124" s="2"/>
    </row>
    <row r="125" ht="15.75" customHeight="1">
      <c r="F125" s="65"/>
      <c r="G125" s="2"/>
    </row>
    <row r="126" ht="15.75" customHeight="1">
      <c r="F126" s="65"/>
      <c r="G126" s="2"/>
    </row>
    <row r="127" ht="15.75" customHeight="1">
      <c r="F127" s="65"/>
      <c r="G127" s="2"/>
    </row>
    <row r="128" ht="15.75" customHeight="1">
      <c r="F128" s="65"/>
      <c r="G128" s="2"/>
    </row>
    <row r="129" ht="15.75" customHeight="1">
      <c r="F129" s="65"/>
      <c r="G129" s="2"/>
    </row>
    <row r="130" ht="15.75" customHeight="1">
      <c r="F130" s="65"/>
      <c r="G130" s="2"/>
    </row>
    <row r="131" ht="15.75" customHeight="1">
      <c r="F131" s="65"/>
      <c r="G131" s="2"/>
    </row>
    <row r="132" ht="15.75" customHeight="1">
      <c r="F132" s="65"/>
      <c r="G132" s="2"/>
    </row>
    <row r="133" ht="15.75" customHeight="1">
      <c r="F133" s="65"/>
      <c r="G133" s="2"/>
    </row>
    <row r="134" ht="15.75" customHeight="1">
      <c r="F134" s="65"/>
      <c r="G134" s="2"/>
    </row>
    <row r="135" ht="15.75" customHeight="1">
      <c r="F135" s="65"/>
      <c r="G135" s="2"/>
    </row>
    <row r="136" ht="15.75" customHeight="1">
      <c r="F136" s="65"/>
      <c r="G136" s="2"/>
    </row>
    <row r="137" ht="15.75" customHeight="1">
      <c r="F137" s="65"/>
      <c r="G137" s="2"/>
    </row>
    <row r="138" ht="15.75" customHeight="1">
      <c r="F138" s="65"/>
      <c r="G138" s="2"/>
    </row>
    <row r="139" ht="15.75" customHeight="1">
      <c r="F139" s="65"/>
      <c r="G139" s="2"/>
    </row>
    <row r="140" ht="15.75" customHeight="1">
      <c r="F140" s="65"/>
      <c r="G140" s="2"/>
    </row>
    <row r="141" ht="15.75" customHeight="1">
      <c r="F141" s="65"/>
      <c r="G141" s="2"/>
    </row>
    <row r="142" ht="15.75" customHeight="1">
      <c r="F142" s="65"/>
      <c r="G142" s="2"/>
    </row>
    <row r="143" ht="15.75" customHeight="1">
      <c r="F143" s="65"/>
      <c r="G143" s="2"/>
    </row>
    <row r="144" ht="15.75" customHeight="1">
      <c r="F144" s="65"/>
      <c r="G144" s="2"/>
    </row>
    <row r="145" ht="15.75" customHeight="1">
      <c r="F145" s="65"/>
      <c r="G145" s="2"/>
    </row>
    <row r="146" ht="15.75" customHeight="1">
      <c r="F146" s="65"/>
      <c r="G146" s="2"/>
    </row>
    <row r="147" ht="15.75" customHeight="1">
      <c r="F147" s="65"/>
      <c r="G147" s="2"/>
    </row>
    <row r="148" ht="15.75" customHeight="1">
      <c r="F148" s="65"/>
      <c r="G148" s="2"/>
    </row>
    <row r="149" ht="15.75" customHeight="1">
      <c r="F149" s="65"/>
      <c r="G149" s="2"/>
    </row>
    <row r="150" ht="15.75" customHeight="1">
      <c r="F150" s="65"/>
      <c r="G150" s="2"/>
    </row>
    <row r="151" ht="15.75" customHeight="1">
      <c r="F151" s="65"/>
      <c r="G151" s="2"/>
    </row>
    <row r="152" ht="15.75" customHeight="1">
      <c r="F152" s="65"/>
      <c r="G152" s="2"/>
    </row>
    <row r="153" ht="15.75" customHeight="1">
      <c r="F153" s="65"/>
      <c r="G153" s="2"/>
    </row>
    <row r="154" ht="15.75" customHeight="1">
      <c r="F154" s="65"/>
      <c r="G154" s="2"/>
    </row>
    <row r="155" ht="15.75" customHeight="1">
      <c r="F155" s="65"/>
      <c r="G155" s="2"/>
    </row>
    <row r="156" ht="15.75" customHeight="1">
      <c r="F156" s="65"/>
      <c r="G156" s="2"/>
    </row>
    <row r="157" ht="15.75" customHeight="1">
      <c r="F157" s="65"/>
      <c r="G157" s="2"/>
    </row>
    <row r="158" ht="15.75" customHeight="1">
      <c r="F158" s="65"/>
      <c r="G158" s="2"/>
    </row>
    <row r="159" ht="15.75" customHeight="1">
      <c r="F159" s="65"/>
      <c r="G159" s="2"/>
    </row>
    <row r="160" ht="15.75" customHeight="1">
      <c r="F160" s="65"/>
      <c r="G160" s="2"/>
    </row>
    <row r="161" ht="15.75" customHeight="1">
      <c r="F161" s="65"/>
      <c r="G161" s="2"/>
    </row>
    <row r="162" ht="15.75" customHeight="1">
      <c r="F162" s="65"/>
      <c r="G162" s="2"/>
    </row>
    <row r="163" ht="15.75" customHeight="1">
      <c r="F163" s="65"/>
      <c r="G163" s="2"/>
    </row>
    <row r="164" ht="15.75" customHeight="1">
      <c r="F164" s="65"/>
      <c r="G164" s="2"/>
    </row>
    <row r="165" ht="15.75" customHeight="1">
      <c r="F165" s="65"/>
      <c r="G165" s="2"/>
    </row>
    <row r="166" ht="15.75" customHeight="1">
      <c r="F166" s="65"/>
      <c r="G166" s="2"/>
    </row>
    <row r="167" ht="15.75" customHeight="1">
      <c r="F167" s="65"/>
      <c r="G167" s="2"/>
    </row>
    <row r="168" ht="15.75" customHeight="1">
      <c r="F168" s="65"/>
      <c r="G168" s="2"/>
    </row>
    <row r="169" ht="15.75" customHeight="1">
      <c r="F169" s="65"/>
      <c r="G169" s="2"/>
    </row>
    <row r="170" ht="15.75" customHeight="1">
      <c r="F170" s="65"/>
      <c r="G170" s="2"/>
    </row>
    <row r="171" ht="15.75" customHeight="1">
      <c r="F171" s="65"/>
      <c r="G171" s="2"/>
    </row>
    <row r="172" ht="15.75" customHeight="1">
      <c r="F172" s="65"/>
      <c r="G172" s="2"/>
    </row>
    <row r="173" ht="15.75" customHeight="1">
      <c r="F173" s="65"/>
      <c r="G173" s="2"/>
    </row>
    <row r="174" ht="15.75" customHeight="1">
      <c r="F174" s="65"/>
      <c r="G174" s="2"/>
    </row>
    <row r="175" ht="15.75" customHeight="1">
      <c r="F175" s="65"/>
      <c r="G175" s="2"/>
    </row>
    <row r="176" ht="15.75" customHeight="1">
      <c r="F176" s="65"/>
      <c r="G176" s="2"/>
    </row>
    <row r="177" ht="15.75" customHeight="1">
      <c r="F177" s="65"/>
      <c r="G177" s="2"/>
    </row>
    <row r="178" ht="15.75" customHeight="1">
      <c r="F178" s="65"/>
      <c r="G178" s="2"/>
    </row>
    <row r="179" ht="15.75" customHeight="1">
      <c r="F179" s="65"/>
      <c r="G179" s="2"/>
    </row>
    <row r="180" ht="15.75" customHeight="1">
      <c r="F180" s="65"/>
      <c r="G180" s="2"/>
    </row>
    <row r="181" ht="15.75" customHeight="1">
      <c r="F181" s="65"/>
      <c r="G181" s="2"/>
    </row>
    <row r="182" ht="15.75" customHeight="1">
      <c r="F182" s="65"/>
      <c r="G182" s="2"/>
    </row>
    <row r="183" ht="15.75" customHeight="1">
      <c r="F183" s="65"/>
      <c r="G183" s="2"/>
    </row>
    <row r="184" ht="15.75" customHeight="1">
      <c r="F184" s="65"/>
      <c r="G184" s="2"/>
    </row>
    <row r="185" ht="15.75" customHeight="1">
      <c r="F185" s="65"/>
      <c r="G185" s="2"/>
    </row>
    <row r="186" ht="15.75" customHeight="1">
      <c r="F186" s="65"/>
      <c r="G186" s="2"/>
    </row>
    <row r="187" ht="15.75" customHeight="1">
      <c r="F187" s="65"/>
      <c r="G187" s="2"/>
    </row>
    <row r="188" ht="15.75" customHeight="1">
      <c r="F188" s="65"/>
      <c r="G188" s="2"/>
    </row>
    <row r="189" ht="15.75" customHeight="1">
      <c r="F189" s="65"/>
      <c r="G189" s="2"/>
    </row>
    <row r="190" ht="15.75" customHeight="1">
      <c r="F190" s="65"/>
      <c r="G190" s="2"/>
    </row>
    <row r="191" ht="15.75" customHeight="1">
      <c r="F191" s="65"/>
      <c r="G191" s="2"/>
    </row>
    <row r="192" ht="15.75" customHeight="1">
      <c r="F192" s="65"/>
      <c r="G192" s="2"/>
    </row>
    <row r="193" ht="15.75" customHeight="1">
      <c r="F193" s="65"/>
      <c r="G193" s="2"/>
    </row>
    <row r="194" ht="15.75" customHeight="1">
      <c r="F194" s="65"/>
      <c r="G194" s="2"/>
    </row>
    <row r="195" ht="15.75" customHeight="1">
      <c r="F195" s="65"/>
      <c r="G195" s="2"/>
    </row>
    <row r="196" ht="15.75" customHeight="1">
      <c r="F196" s="65"/>
      <c r="G196" s="2"/>
    </row>
    <row r="197" ht="15.75" customHeight="1">
      <c r="F197" s="65"/>
      <c r="G197" s="2"/>
    </row>
    <row r="198" ht="15.75" customHeight="1">
      <c r="F198" s="65"/>
      <c r="G198" s="2"/>
    </row>
    <row r="199" ht="15.75" customHeight="1">
      <c r="F199" s="65"/>
      <c r="G199" s="2"/>
    </row>
    <row r="200" ht="15.75" customHeight="1">
      <c r="F200" s="65"/>
      <c r="G200" s="2"/>
    </row>
    <row r="201" ht="15.75" customHeight="1">
      <c r="F201" s="65"/>
      <c r="G201" s="2"/>
    </row>
    <row r="202" ht="15.75" customHeight="1">
      <c r="F202" s="65"/>
      <c r="G202" s="2"/>
    </row>
    <row r="203" ht="15.75" customHeight="1">
      <c r="F203" s="65"/>
      <c r="G203" s="2"/>
    </row>
    <row r="204" ht="15.75" customHeight="1">
      <c r="F204" s="65"/>
      <c r="G204" s="2"/>
    </row>
    <row r="205" ht="15.75" customHeight="1">
      <c r="F205" s="65"/>
      <c r="G205" s="2"/>
    </row>
    <row r="206" ht="15.75" customHeight="1">
      <c r="F206" s="65"/>
      <c r="G206" s="2"/>
    </row>
    <row r="207" ht="15.75" customHeight="1">
      <c r="F207" s="65"/>
      <c r="G207" s="2"/>
    </row>
    <row r="208" ht="15.75" customHeight="1">
      <c r="F208" s="65"/>
      <c r="G208" s="2"/>
    </row>
    <row r="209" ht="15.75" customHeight="1">
      <c r="F209" s="65"/>
      <c r="G209" s="2"/>
    </row>
    <row r="210" ht="15.75" customHeight="1">
      <c r="F210" s="65"/>
      <c r="G210" s="2"/>
    </row>
    <row r="211" ht="15.75" customHeight="1">
      <c r="F211" s="65"/>
      <c r="G211" s="2"/>
    </row>
    <row r="212" ht="15.75" customHeight="1">
      <c r="F212" s="65"/>
      <c r="G212" s="2"/>
    </row>
    <row r="213" ht="15.75" customHeight="1">
      <c r="F213" s="65"/>
      <c r="G213" s="2"/>
    </row>
    <row r="214" ht="15.75" customHeight="1">
      <c r="F214" s="65"/>
      <c r="G214" s="2"/>
    </row>
    <row r="215" ht="15.75" customHeight="1">
      <c r="F215" s="65"/>
      <c r="G215" s="2"/>
    </row>
    <row r="216" ht="15.75" customHeight="1">
      <c r="F216" s="65"/>
      <c r="G216" s="2"/>
    </row>
    <row r="217" ht="15.75" customHeight="1">
      <c r="F217" s="65"/>
      <c r="G217" s="2"/>
    </row>
    <row r="218" ht="15.75" customHeight="1">
      <c r="F218" s="65"/>
      <c r="G218" s="2"/>
    </row>
    <row r="219" ht="15.75" customHeight="1">
      <c r="F219" s="65"/>
      <c r="G219" s="2"/>
    </row>
    <row r="220" ht="15.75" customHeight="1">
      <c r="F220" s="65"/>
      <c r="G220" s="2"/>
    </row>
    <row r="221" ht="15.75" customHeight="1">
      <c r="F221" s="65"/>
      <c r="G221" s="2"/>
    </row>
    <row r="222" ht="15.75" customHeight="1">
      <c r="F222" s="65"/>
      <c r="G222" s="2"/>
    </row>
    <row r="223" ht="15.75" customHeight="1">
      <c r="F223" s="65"/>
      <c r="G223" s="2"/>
    </row>
    <row r="224" ht="15.75" customHeight="1">
      <c r="F224" s="65"/>
      <c r="G224" s="2"/>
    </row>
    <row r="225" ht="15.75" customHeight="1">
      <c r="F225" s="65"/>
      <c r="G225" s="2"/>
    </row>
    <row r="226" ht="15.75" customHeight="1">
      <c r="F226" s="65"/>
      <c r="G226" s="2"/>
    </row>
    <row r="227" ht="15.75" customHeight="1">
      <c r="F227" s="65"/>
      <c r="G227" s="2"/>
    </row>
    <row r="228" ht="15.75" customHeight="1">
      <c r="F228" s="65"/>
      <c r="G228" s="2"/>
    </row>
    <row r="229" ht="15.75" customHeight="1">
      <c r="F229" s="65"/>
      <c r="G229" s="2"/>
    </row>
    <row r="230" ht="15.75" customHeight="1">
      <c r="F230" s="65"/>
      <c r="G230" s="2"/>
    </row>
    <row r="231" ht="15.75" customHeight="1">
      <c r="F231" s="65"/>
      <c r="G231" s="2"/>
    </row>
    <row r="232" ht="15.75" customHeight="1">
      <c r="F232" s="65"/>
      <c r="G232" s="2"/>
    </row>
    <row r="233" ht="15.75" customHeight="1">
      <c r="F233" s="65"/>
      <c r="G233" s="2"/>
    </row>
    <row r="234" ht="15.75" customHeight="1">
      <c r="F234" s="65"/>
      <c r="G234" s="2"/>
    </row>
    <row r="235" ht="15.75" customHeight="1">
      <c r="F235" s="65"/>
      <c r="G235" s="2"/>
    </row>
    <row r="236" ht="15.75" customHeight="1">
      <c r="F236" s="65"/>
      <c r="G236" s="2"/>
    </row>
    <row r="237" ht="15.75" customHeight="1">
      <c r="F237" s="65"/>
      <c r="G237" s="2"/>
    </row>
    <row r="238" ht="15.75" customHeight="1">
      <c r="F238" s="65"/>
      <c r="G238" s="2"/>
    </row>
    <row r="239" ht="15.75" customHeight="1">
      <c r="F239" s="65"/>
      <c r="G239" s="2"/>
    </row>
    <row r="240" ht="15.75" customHeight="1">
      <c r="F240" s="65"/>
      <c r="G240" s="2"/>
    </row>
    <row r="241" ht="15.75" customHeight="1">
      <c r="F241" s="65"/>
      <c r="G241" s="2"/>
    </row>
    <row r="242" ht="15.75" customHeight="1">
      <c r="F242" s="65"/>
      <c r="G242" s="2"/>
    </row>
    <row r="243" ht="15.75" customHeight="1">
      <c r="F243" s="65"/>
      <c r="G243" s="2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43">
    <sortState ref="A3:G43">
      <sortCondition descending="1" ref="F3:F43"/>
      <sortCondition ref="A3:A43"/>
    </sortState>
  </autoFilter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12.57"/>
    <col customWidth="1" min="3" max="3" width="13.71"/>
    <col customWidth="1" min="4" max="4" width="8.57"/>
    <col customWidth="1" min="5" max="5" width="8.86"/>
    <col customWidth="1" min="6" max="6" width="4.57"/>
    <col customWidth="1" min="7" max="7" width="11.43"/>
    <col customWidth="1" min="8" max="8" width="8.57"/>
    <col customWidth="1" min="9" max="9" width="10.86"/>
    <col customWidth="1" min="10" max="10" width="4.57"/>
    <col customWidth="1" min="11" max="11" width="8.0"/>
    <col customWidth="1" min="12" max="12" width="8.57"/>
    <col customWidth="1" min="13" max="17" width="13.43"/>
    <col customWidth="1" min="18" max="18" width="19.0"/>
  </cols>
  <sheetData>
    <row r="1" ht="15.75" customHeight="1">
      <c r="A1" s="76" t="s">
        <v>205</v>
      </c>
      <c r="B1" s="77"/>
      <c r="C1" s="78"/>
      <c r="D1" s="79"/>
      <c r="E1" s="76" t="s">
        <v>206</v>
      </c>
      <c r="F1" s="77"/>
      <c r="G1" s="78"/>
      <c r="H1" s="79"/>
      <c r="I1" s="76" t="s">
        <v>207</v>
      </c>
      <c r="J1" s="77"/>
      <c r="K1" s="78"/>
      <c r="L1" s="79"/>
      <c r="M1" s="80" t="s">
        <v>208</v>
      </c>
      <c r="N1" s="81" t="s">
        <v>209</v>
      </c>
      <c r="O1" s="80" t="s">
        <v>210</v>
      </c>
      <c r="P1" s="80" t="s">
        <v>211</v>
      </c>
      <c r="Q1" s="82" t="s">
        <v>212</v>
      </c>
      <c r="R1" s="83" t="s">
        <v>213</v>
      </c>
      <c r="S1" s="84"/>
      <c r="T1" s="84" t="s">
        <v>214</v>
      </c>
      <c r="U1" s="84"/>
    </row>
    <row r="2" ht="15.75" customHeight="1">
      <c r="A2" s="85" t="s">
        <v>215</v>
      </c>
      <c r="B2" s="85" t="s">
        <v>216</v>
      </c>
      <c r="C2" s="85" t="s">
        <v>217</v>
      </c>
      <c r="E2" s="85" t="s">
        <v>215</v>
      </c>
      <c r="F2" s="85" t="s">
        <v>216</v>
      </c>
      <c r="G2" s="85" t="s">
        <v>217</v>
      </c>
      <c r="I2" s="85" t="s">
        <v>215</v>
      </c>
      <c r="J2" s="85" t="s">
        <v>216</v>
      </c>
      <c r="K2" s="85" t="s">
        <v>217</v>
      </c>
      <c r="M2" s="86" t="s">
        <v>218</v>
      </c>
      <c r="N2" s="87" t="s">
        <v>218</v>
      </c>
      <c r="O2" s="87" t="s">
        <v>218</v>
      </c>
      <c r="P2" s="87">
        <f>P3</f>
        <v>3818</v>
      </c>
      <c r="Q2" s="88">
        <v>0.0</v>
      </c>
      <c r="R2" s="89"/>
      <c r="S2" s="89"/>
      <c r="T2" s="89"/>
      <c r="U2" s="89"/>
    </row>
    <row r="3" ht="15.75" customHeight="1">
      <c r="A3" s="90">
        <v>100.0</v>
      </c>
      <c r="B3" s="91">
        <v>0.0</v>
      </c>
      <c r="C3" s="90">
        <f t="shared" ref="C3:C8" si="1">B3*A3</f>
        <v>0</v>
      </c>
      <c r="E3" s="90">
        <v>1.0</v>
      </c>
      <c r="F3" s="91">
        <v>2.0</v>
      </c>
      <c r="G3" s="90">
        <f>F3*100</f>
        <v>200</v>
      </c>
      <c r="I3" s="90">
        <v>100.0</v>
      </c>
      <c r="J3" s="91"/>
      <c r="K3" s="90">
        <f t="shared" ref="K3:K8" si="2">J3*I3</f>
        <v>0</v>
      </c>
      <c r="M3" s="92">
        <v>45551.0</v>
      </c>
      <c r="N3" s="90">
        <v>3743.0</v>
      </c>
      <c r="O3" s="90">
        <v>75.0</v>
      </c>
      <c r="P3" s="90">
        <f t="shared" ref="P3:P157" si="3">if(N3="",0,N3+O3)</f>
        <v>3818</v>
      </c>
      <c r="Q3" s="93">
        <f t="shared" ref="Q3:Q157" si="4">if(P3=0,0,P3-P2)</f>
        <v>0</v>
      </c>
      <c r="R3" s="94">
        <f>SUM(R4:R192)</f>
        <v>166</v>
      </c>
      <c r="S3" s="94"/>
      <c r="T3" s="94">
        <f>max(P:P)</f>
        <v>5276</v>
      </c>
      <c r="U3" s="94"/>
    </row>
    <row r="4" ht="15.75" customHeight="1">
      <c r="A4" s="90">
        <v>50.0</v>
      </c>
      <c r="B4" s="91">
        <v>1.0</v>
      </c>
      <c r="C4" s="90">
        <f t="shared" si="1"/>
        <v>50</v>
      </c>
      <c r="E4" s="90">
        <v>0.25</v>
      </c>
      <c r="F4" s="91">
        <v>34.0</v>
      </c>
      <c r="G4" s="90">
        <f>F4*10</f>
        <v>340</v>
      </c>
      <c r="I4" s="90">
        <v>50.0</v>
      </c>
      <c r="J4" s="91"/>
      <c r="K4" s="90">
        <f t="shared" si="2"/>
        <v>0</v>
      </c>
      <c r="M4" s="92">
        <v>45556.0</v>
      </c>
      <c r="N4" s="95">
        <v>3749.0</v>
      </c>
      <c r="O4" s="90">
        <v>89.0</v>
      </c>
      <c r="P4" s="90">
        <f t="shared" si="3"/>
        <v>3838</v>
      </c>
      <c r="Q4" s="93">
        <f t="shared" si="4"/>
        <v>20</v>
      </c>
      <c r="R4" s="94" t="str">
        <f t="shared" ref="R4:R157" si="5">if(and(P5=0,P4&gt;0),P4-P$2,"")</f>
        <v/>
      </c>
      <c r="S4" s="94"/>
      <c r="T4" s="94"/>
      <c r="U4" s="94"/>
    </row>
    <row r="5" ht="15.75" customHeight="1">
      <c r="A5" s="90">
        <v>20.0</v>
      </c>
      <c r="B5" s="91">
        <v>63.0</v>
      </c>
      <c r="C5" s="90">
        <f t="shared" si="1"/>
        <v>1260</v>
      </c>
      <c r="E5" s="90">
        <v>0.1</v>
      </c>
      <c r="F5" s="91">
        <v>52.0</v>
      </c>
      <c r="G5" s="90">
        <f>F5*5</f>
        <v>260</v>
      </c>
      <c r="I5" s="90">
        <v>20.0</v>
      </c>
      <c r="J5" s="91"/>
      <c r="K5" s="90">
        <f t="shared" si="2"/>
        <v>0</v>
      </c>
      <c r="M5" s="92">
        <v>45570.0</v>
      </c>
      <c r="N5" s="95">
        <v>3812.0</v>
      </c>
      <c r="O5" s="90">
        <v>109.0</v>
      </c>
      <c r="P5" s="90">
        <f t="shared" si="3"/>
        <v>3921</v>
      </c>
      <c r="Q5" s="93">
        <f t="shared" si="4"/>
        <v>83</v>
      </c>
      <c r="R5" s="94" t="str">
        <f t="shared" si="5"/>
        <v/>
      </c>
      <c r="S5" s="94"/>
      <c r="T5" s="94"/>
      <c r="U5" s="94"/>
    </row>
    <row r="6" ht="15.75" customHeight="1">
      <c r="A6" s="90">
        <v>10.0</v>
      </c>
      <c r="B6" s="91">
        <v>66.0</v>
      </c>
      <c r="C6" s="90">
        <f t="shared" si="1"/>
        <v>660</v>
      </c>
      <c r="E6" s="90">
        <v>0.05</v>
      </c>
      <c r="F6" s="91">
        <v>8.0</v>
      </c>
      <c r="G6" s="90">
        <f>F6*2</f>
        <v>16</v>
      </c>
      <c r="I6" s="90">
        <v>10.0</v>
      </c>
      <c r="J6" s="91"/>
      <c r="K6" s="90">
        <f t="shared" si="2"/>
        <v>0</v>
      </c>
      <c r="M6" s="92">
        <v>45596.0</v>
      </c>
      <c r="N6" s="95">
        <v>3906.0</v>
      </c>
      <c r="O6" s="90">
        <v>126.0</v>
      </c>
      <c r="P6" s="90">
        <f t="shared" si="3"/>
        <v>4032</v>
      </c>
      <c r="Q6" s="93">
        <f t="shared" si="4"/>
        <v>111</v>
      </c>
      <c r="R6" s="94" t="str">
        <f t="shared" si="5"/>
        <v/>
      </c>
      <c r="S6" s="94"/>
      <c r="T6" s="94"/>
      <c r="U6" s="94"/>
    </row>
    <row r="7" ht="15.75" customHeight="1">
      <c r="A7" s="90">
        <v>5.0</v>
      </c>
      <c r="B7" s="91">
        <v>31.0</v>
      </c>
      <c r="C7" s="90">
        <f t="shared" si="1"/>
        <v>155</v>
      </c>
      <c r="E7" s="90">
        <v>0.01</v>
      </c>
      <c r="F7" s="91"/>
      <c r="G7" s="90">
        <f>F7*0.5</f>
        <v>0</v>
      </c>
      <c r="I7" s="90">
        <v>5.0</v>
      </c>
      <c r="J7" s="91"/>
      <c r="K7" s="90">
        <f t="shared" si="2"/>
        <v>0</v>
      </c>
      <c r="M7" s="92">
        <v>45598.0</v>
      </c>
      <c r="N7" s="95">
        <v>3910.0</v>
      </c>
      <c r="O7" s="90">
        <v>127.0</v>
      </c>
      <c r="P7" s="90">
        <f t="shared" si="3"/>
        <v>4037</v>
      </c>
      <c r="Q7" s="93">
        <f t="shared" si="4"/>
        <v>5</v>
      </c>
      <c r="R7" s="94" t="str">
        <f t="shared" si="5"/>
        <v/>
      </c>
      <c r="S7" s="94"/>
      <c r="T7" s="94"/>
      <c r="U7" s="94"/>
    </row>
    <row r="8" ht="15.75" customHeight="1">
      <c r="A8" s="90">
        <v>1.0</v>
      </c>
      <c r="B8" s="91">
        <f>16+27</f>
        <v>43</v>
      </c>
      <c r="C8" s="90">
        <f t="shared" si="1"/>
        <v>43</v>
      </c>
      <c r="G8" s="96">
        <f>SUM(G3:G7)</f>
        <v>816</v>
      </c>
      <c r="I8" s="90">
        <v>1.0</v>
      </c>
      <c r="J8" s="91"/>
      <c r="K8" s="90">
        <f t="shared" si="2"/>
        <v>0</v>
      </c>
      <c r="M8" s="92">
        <v>45599.0</v>
      </c>
      <c r="N8" s="90">
        <v>3912.0</v>
      </c>
      <c r="O8" s="90">
        <v>127.0</v>
      </c>
      <c r="P8" s="90">
        <f t="shared" si="3"/>
        <v>4039</v>
      </c>
      <c r="Q8" s="93">
        <f t="shared" si="4"/>
        <v>2</v>
      </c>
      <c r="R8" s="94" t="str">
        <f t="shared" si="5"/>
        <v/>
      </c>
      <c r="S8" s="94"/>
      <c r="T8" s="94"/>
      <c r="U8" s="94"/>
    </row>
    <row r="9" ht="15.75" customHeight="1">
      <c r="C9" s="96">
        <f>SUM(C3:C8)</f>
        <v>2168</v>
      </c>
      <c r="K9" s="96">
        <f>SUM(K3:K8)</f>
        <v>0</v>
      </c>
      <c r="M9" s="92">
        <v>45601.0</v>
      </c>
      <c r="N9" s="90">
        <v>3921.0</v>
      </c>
      <c r="O9" s="90">
        <v>139.0</v>
      </c>
      <c r="P9" s="90">
        <f t="shared" si="3"/>
        <v>4060</v>
      </c>
      <c r="Q9" s="93">
        <f t="shared" si="4"/>
        <v>21</v>
      </c>
      <c r="R9" s="94" t="str">
        <f t="shared" si="5"/>
        <v/>
      </c>
      <c r="S9" s="94"/>
      <c r="T9" s="94"/>
      <c r="U9" s="94"/>
    </row>
    <row r="10" ht="15.75" customHeight="1">
      <c r="C10" s="97"/>
      <c r="M10" s="92">
        <v>45604.0</v>
      </c>
      <c r="N10" s="95">
        <v>3921.0</v>
      </c>
      <c r="O10" s="90">
        <v>147.0</v>
      </c>
      <c r="P10" s="90">
        <f t="shared" si="3"/>
        <v>4068</v>
      </c>
      <c r="Q10" s="93">
        <f t="shared" si="4"/>
        <v>8</v>
      </c>
      <c r="R10" s="94" t="str">
        <f t="shared" si="5"/>
        <v/>
      </c>
      <c r="S10" s="94"/>
      <c r="T10" s="94"/>
      <c r="U10" s="94"/>
    </row>
    <row r="11" ht="15.75" customHeight="1">
      <c r="M11" s="92">
        <v>45608.0</v>
      </c>
      <c r="N11" s="90">
        <v>3969.0</v>
      </c>
      <c r="O11" s="90">
        <v>153.0</v>
      </c>
      <c r="P11" s="90">
        <f t="shared" si="3"/>
        <v>4122</v>
      </c>
      <c r="Q11" s="93">
        <f t="shared" si="4"/>
        <v>54</v>
      </c>
      <c r="R11" s="94" t="str">
        <f t="shared" si="5"/>
        <v/>
      </c>
      <c r="S11" s="94"/>
      <c r="T11" s="94"/>
      <c r="U11" s="94"/>
    </row>
    <row r="12" ht="15.75" customHeight="1">
      <c r="M12" s="92">
        <v>45612.0</v>
      </c>
      <c r="N12" s="90">
        <v>4001.0</v>
      </c>
      <c r="O12" s="90">
        <v>153.0</v>
      </c>
      <c r="P12" s="90">
        <f t="shared" si="3"/>
        <v>4154</v>
      </c>
      <c r="Q12" s="93">
        <f t="shared" si="4"/>
        <v>32</v>
      </c>
      <c r="R12" s="94" t="str">
        <f t="shared" si="5"/>
        <v/>
      </c>
      <c r="S12" s="94"/>
      <c r="T12" s="94"/>
      <c r="U12" s="94"/>
    </row>
    <row r="13" ht="15.75" customHeight="1">
      <c r="A13" s="98" t="s">
        <v>219</v>
      </c>
      <c r="B13" s="99">
        <f>TODAY()</f>
        <v>46213</v>
      </c>
      <c r="M13" s="92">
        <v>45619.0</v>
      </c>
      <c r="N13" s="90">
        <v>4103.0</v>
      </c>
      <c r="O13" s="90">
        <v>171.0</v>
      </c>
      <c r="P13" s="90">
        <f t="shared" si="3"/>
        <v>4274</v>
      </c>
      <c r="Q13" s="93">
        <f t="shared" si="4"/>
        <v>120</v>
      </c>
      <c r="R13" s="94" t="str">
        <f t="shared" si="5"/>
        <v/>
      </c>
      <c r="S13" s="94"/>
      <c r="T13" s="94"/>
      <c r="U13" s="94"/>
    </row>
    <row r="14" ht="15.75" customHeight="1">
      <c r="A14" s="4" t="s">
        <v>220</v>
      </c>
      <c r="B14" s="100">
        <f>C9</f>
        <v>2168</v>
      </c>
      <c r="M14" s="92">
        <v>45654.0</v>
      </c>
      <c r="N14" s="90">
        <v>3947.0</v>
      </c>
      <c r="O14" s="90">
        <v>190.0</v>
      </c>
      <c r="P14" s="90">
        <f t="shared" si="3"/>
        <v>4137</v>
      </c>
      <c r="Q14" s="93">
        <f t="shared" si="4"/>
        <v>-137</v>
      </c>
      <c r="R14" s="94" t="str">
        <f t="shared" si="5"/>
        <v/>
      </c>
      <c r="S14" s="94"/>
      <c r="T14" s="94"/>
      <c r="U14" s="94"/>
    </row>
    <row r="15" ht="15.75" customHeight="1">
      <c r="A15" s="4" t="s">
        <v>221</v>
      </c>
      <c r="B15" s="100">
        <f>G8</f>
        <v>816</v>
      </c>
      <c r="M15" s="92">
        <v>45669.0</v>
      </c>
      <c r="N15" s="90">
        <v>3936.5</v>
      </c>
      <c r="O15" s="90">
        <v>204.0</v>
      </c>
      <c r="P15" s="90">
        <f t="shared" si="3"/>
        <v>4140.5</v>
      </c>
      <c r="Q15" s="93">
        <f t="shared" si="4"/>
        <v>3.5</v>
      </c>
      <c r="R15" s="94" t="str">
        <f t="shared" si="5"/>
        <v/>
      </c>
      <c r="S15" s="94"/>
      <c r="T15" s="94"/>
      <c r="U15" s="94"/>
    </row>
    <row r="16" ht="15.75" customHeight="1">
      <c r="A16" s="4" t="s">
        <v>222</v>
      </c>
      <c r="B16" s="101">
        <v>1000.0</v>
      </c>
      <c r="M16" s="92">
        <v>45675.0</v>
      </c>
      <c r="N16" s="95">
        <v>3975.5</v>
      </c>
      <c r="O16" s="90">
        <v>205.0</v>
      </c>
      <c r="P16" s="90">
        <f t="shared" si="3"/>
        <v>4180.5</v>
      </c>
      <c r="Q16" s="93">
        <f t="shared" si="4"/>
        <v>40</v>
      </c>
      <c r="R16" s="94" t="str">
        <f t="shared" si="5"/>
        <v/>
      </c>
      <c r="S16" s="94"/>
      <c r="T16" s="94"/>
      <c r="U16" s="94"/>
    </row>
    <row r="17" ht="15.75" customHeight="1">
      <c r="A17" s="102" t="s">
        <v>211</v>
      </c>
      <c r="B17" s="103">
        <f>sum(B16,B14,B15)</f>
        <v>3984</v>
      </c>
      <c r="M17" s="92">
        <v>45677.0</v>
      </c>
      <c r="N17" s="90">
        <v>3977.0</v>
      </c>
      <c r="O17" s="90">
        <v>205.0</v>
      </c>
      <c r="P17" s="90">
        <f t="shared" si="3"/>
        <v>4182</v>
      </c>
      <c r="Q17" s="93">
        <f t="shared" si="4"/>
        <v>1.5</v>
      </c>
      <c r="R17" s="94" t="str">
        <f t="shared" si="5"/>
        <v/>
      </c>
      <c r="S17" s="94"/>
      <c r="T17" s="94"/>
      <c r="U17" s="94"/>
    </row>
    <row r="18" ht="15.75" customHeight="1">
      <c r="M18" s="92">
        <v>45682.0</v>
      </c>
      <c r="N18" s="90">
        <v>4018.0</v>
      </c>
      <c r="O18" s="90">
        <v>208.0</v>
      </c>
      <c r="P18" s="90">
        <f t="shared" si="3"/>
        <v>4226</v>
      </c>
      <c r="Q18" s="93">
        <f t="shared" si="4"/>
        <v>44</v>
      </c>
      <c r="R18" s="94" t="str">
        <f t="shared" si="5"/>
        <v/>
      </c>
      <c r="S18" s="94"/>
      <c r="T18" s="94"/>
      <c r="U18" s="94"/>
    </row>
    <row r="19" ht="15.75" customHeight="1">
      <c r="A19" s="4" t="s">
        <v>207</v>
      </c>
      <c r="B19" s="100">
        <f>K9</f>
        <v>0</v>
      </c>
      <c r="M19" s="92">
        <v>45696.0</v>
      </c>
      <c r="N19" s="90">
        <v>4035.0</v>
      </c>
      <c r="O19" s="90">
        <v>214.0</v>
      </c>
      <c r="P19" s="90">
        <f t="shared" si="3"/>
        <v>4249</v>
      </c>
      <c r="Q19" s="93">
        <f t="shared" si="4"/>
        <v>23</v>
      </c>
      <c r="R19" s="94" t="str">
        <f t="shared" si="5"/>
        <v/>
      </c>
      <c r="S19" s="94"/>
      <c r="T19" s="94"/>
      <c r="U19" s="94"/>
    </row>
    <row r="20" ht="15.75" customHeight="1">
      <c r="M20" s="92">
        <v>45703.0</v>
      </c>
      <c r="N20" s="90">
        <v>3993.0</v>
      </c>
      <c r="O20" s="90">
        <v>226.0</v>
      </c>
      <c r="P20" s="90">
        <f t="shared" si="3"/>
        <v>4219</v>
      </c>
      <c r="Q20" s="93">
        <f t="shared" si="4"/>
        <v>-30</v>
      </c>
      <c r="R20" s="94" t="str">
        <f t="shared" si="5"/>
        <v/>
      </c>
      <c r="S20" s="94"/>
      <c r="T20" s="94"/>
      <c r="U20" s="94"/>
    </row>
    <row r="21" ht="15.75" customHeight="1">
      <c r="M21" s="92">
        <v>45706.0</v>
      </c>
      <c r="N21" s="90">
        <v>4097.5</v>
      </c>
      <c r="O21" s="90">
        <v>230.0</v>
      </c>
      <c r="P21" s="90">
        <f t="shared" si="3"/>
        <v>4327.5</v>
      </c>
      <c r="Q21" s="93">
        <f t="shared" si="4"/>
        <v>108.5</v>
      </c>
      <c r="R21" s="94" t="str">
        <f t="shared" si="5"/>
        <v/>
      </c>
      <c r="S21" s="94"/>
      <c r="T21" s="94"/>
      <c r="U21" s="94"/>
    </row>
    <row r="22" ht="15.75" customHeight="1">
      <c r="M22" s="92">
        <v>45707.0</v>
      </c>
      <c r="N22" s="90">
        <v>4100.5</v>
      </c>
      <c r="O22" s="90">
        <v>236.0</v>
      </c>
      <c r="P22" s="90">
        <f t="shared" si="3"/>
        <v>4336.5</v>
      </c>
      <c r="Q22" s="93">
        <f t="shared" si="4"/>
        <v>9</v>
      </c>
      <c r="R22" s="94" t="str">
        <f t="shared" si="5"/>
        <v/>
      </c>
      <c r="S22" s="94"/>
      <c r="T22" s="94"/>
      <c r="U22" s="94"/>
    </row>
    <row r="23" ht="15.75" customHeight="1">
      <c r="M23" s="92">
        <v>45710.0</v>
      </c>
      <c r="N23" s="90">
        <v>4052.5</v>
      </c>
      <c r="O23" s="90">
        <v>238.0</v>
      </c>
      <c r="P23" s="90">
        <f t="shared" si="3"/>
        <v>4290.5</v>
      </c>
      <c r="Q23" s="93">
        <f t="shared" si="4"/>
        <v>-46</v>
      </c>
      <c r="R23" s="94" t="str">
        <f t="shared" si="5"/>
        <v/>
      </c>
      <c r="S23" s="94"/>
      <c r="T23" s="94"/>
      <c r="U23" s="94"/>
    </row>
    <row r="24" ht="15.75" customHeight="1">
      <c r="M24" s="92">
        <v>45717.0</v>
      </c>
      <c r="N24" s="90">
        <v>4082.5</v>
      </c>
      <c r="O24" s="90">
        <v>242.0</v>
      </c>
      <c r="P24" s="90">
        <f t="shared" si="3"/>
        <v>4324.5</v>
      </c>
      <c r="Q24" s="93">
        <f t="shared" si="4"/>
        <v>34</v>
      </c>
      <c r="R24" s="94" t="str">
        <f t="shared" si="5"/>
        <v/>
      </c>
      <c r="S24" s="94"/>
      <c r="T24" s="94"/>
      <c r="U24" s="94"/>
    </row>
    <row r="25" ht="15.75" customHeight="1">
      <c r="M25" s="92">
        <v>45721.0</v>
      </c>
      <c r="N25" s="95">
        <v>4096.0</v>
      </c>
      <c r="O25" s="90">
        <v>244.0</v>
      </c>
      <c r="P25" s="90">
        <f t="shared" si="3"/>
        <v>4340</v>
      </c>
      <c r="Q25" s="93">
        <f t="shared" si="4"/>
        <v>15.5</v>
      </c>
      <c r="R25" s="94" t="str">
        <f t="shared" si="5"/>
        <v/>
      </c>
      <c r="S25" s="94"/>
      <c r="T25" s="94"/>
      <c r="U25" s="94"/>
    </row>
    <row r="26" ht="15.75" customHeight="1">
      <c r="B26" s="104"/>
      <c r="M26" s="92">
        <v>45724.0</v>
      </c>
      <c r="N26" s="90">
        <v>4187.0</v>
      </c>
      <c r="O26" s="90">
        <v>244.0</v>
      </c>
      <c r="P26" s="90">
        <f t="shared" si="3"/>
        <v>4431</v>
      </c>
      <c r="Q26" s="93">
        <f t="shared" si="4"/>
        <v>91</v>
      </c>
      <c r="R26" s="94" t="str">
        <f t="shared" si="5"/>
        <v/>
      </c>
      <c r="S26" s="94"/>
      <c r="T26" s="94"/>
      <c r="U26" s="94"/>
    </row>
    <row r="27" ht="15.75" customHeight="1">
      <c r="B27" s="104"/>
      <c r="M27" s="92">
        <v>45731.0</v>
      </c>
      <c r="N27" s="95">
        <v>4151.0</v>
      </c>
      <c r="O27" s="90">
        <v>247.0</v>
      </c>
      <c r="P27" s="90">
        <f t="shared" si="3"/>
        <v>4398</v>
      </c>
      <c r="Q27" s="93">
        <f t="shared" si="4"/>
        <v>-33</v>
      </c>
      <c r="R27" s="94" t="str">
        <f t="shared" si="5"/>
        <v/>
      </c>
      <c r="S27" s="94"/>
      <c r="T27" s="94"/>
      <c r="U27" s="94"/>
    </row>
    <row r="28" ht="15.75" customHeight="1">
      <c r="M28" s="92">
        <v>45737.0</v>
      </c>
      <c r="N28" s="95">
        <v>4163.0</v>
      </c>
      <c r="O28" s="90">
        <v>247.0</v>
      </c>
      <c r="P28" s="90">
        <f t="shared" si="3"/>
        <v>4410</v>
      </c>
      <c r="Q28" s="93">
        <f t="shared" si="4"/>
        <v>12</v>
      </c>
      <c r="R28" s="94" t="str">
        <f t="shared" si="5"/>
        <v/>
      </c>
      <c r="S28" s="94"/>
      <c r="T28" s="94"/>
      <c r="U28" s="94"/>
    </row>
    <row r="29" ht="15.75" customHeight="1">
      <c r="M29" s="92">
        <v>45753.0</v>
      </c>
      <c r="N29" s="90">
        <v>4264.0</v>
      </c>
      <c r="O29" s="90">
        <v>252.0</v>
      </c>
      <c r="P29" s="90">
        <f t="shared" si="3"/>
        <v>4516</v>
      </c>
      <c r="Q29" s="93">
        <f t="shared" si="4"/>
        <v>106</v>
      </c>
      <c r="R29" s="94" t="str">
        <f t="shared" si="5"/>
        <v/>
      </c>
      <c r="S29" s="94"/>
      <c r="T29" s="94"/>
      <c r="U29" s="94"/>
    </row>
    <row r="30" ht="15.75" customHeight="1">
      <c r="M30" s="92">
        <v>45760.0</v>
      </c>
      <c r="N30" s="90">
        <v>4327.5</v>
      </c>
      <c r="O30" s="90">
        <v>255.0</v>
      </c>
      <c r="P30" s="90">
        <f t="shared" si="3"/>
        <v>4582.5</v>
      </c>
      <c r="Q30" s="93">
        <f t="shared" si="4"/>
        <v>66.5</v>
      </c>
      <c r="R30" s="94" t="str">
        <f t="shared" si="5"/>
        <v/>
      </c>
      <c r="S30" s="94"/>
      <c r="T30" s="94"/>
      <c r="U30" s="94"/>
    </row>
    <row r="31" ht="15.75" customHeight="1">
      <c r="M31" s="92">
        <v>45763.0</v>
      </c>
      <c r="N31" s="95">
        <v>4230.0</v>
      </c>
      <c r="O31" s="90">
        <v>254.0</v>
      </c>
      <c r="P31" s="90">
        <f t="shared" si="3"/>
        <v>4484</v>
      </c>
      <c r="Q31" s="93">
        <f t="shared" si="4"/>
        <v>-98.5</v>
      </c>
      <c r="R31" s="94" t="str">
        <f t="shared" si="5"/>
        <v/>
      </c>
      <c r="S31" s="94"/>
      <c r="T31" s="94"/>
      <c r="U31" s="94"/>
    </row>
    <row r="32" ht="15.75" customHeight="1">
      <c r="M32" s="92">
        <v>45767.0</v>
      </c>
      <c r="N32" s="90">
        <v>4316.0</v>
      </c>
      <c r="O32" s="90">
        <v>262.0</v>
      </c>
      <c r="P32" s="90">
        <f t="shared" si="3"/>
        <v>4578</v>
      </c>
      <c r="Q32" s="93">
        <f t="shared" si="4"/>
        <v>94</v>
      </c>
      <c r="R32" s="94" t="str">
        <f t="shared" si="5"/>
        <v/>
      </c>
      <c r="S32" s="94"/>
      <c r="T32" s="94"/>
      <c r="U32" s="94"/>
    </row>
    <row r="33" ht="15.75" customHeight="1">
      <c r="M33" s="92">
        <v>45772.0</v>
      </c>
      <c r="N33" s="95">
        <v>4336.0</v>
      </c>
      <c r="O33" s="90">
        <v>262.0</v>
      </c>
      <c r="P33" s="90">
        <f t="shared" si="3"/>
        <v>4598</v>
      </c>
      <c r="Q33" s="93">
        <f t="shared" si="4"/>
        <v>20</v>
      </c>
      <c r="R33" s="94" t="str">
        <f t="shared" si="5"/>
        <v/>
      </c>
      <c r="S33" s="94"/>
      <c r="T33" s="94"/>
      <c r="U33" s="94"/>
    </row>
    <row r="34" ht="15.75" customHeight="1">
      <c r="M34" s="92">
        <v>45780.0</v>
      </c>
      <c r="N34" s="90">
        <v>4334.5</v>
      </c>
      <c r="O34" s="90">
        <v>270.0</v>
      </c>
      <c r="P34" s="90">
        <f t="shared" si="3"/>
        <v>4604.5</v>
      </c>
      <c r="Q34" s="93">
        <f t="shared" si="4"/>
        <v>6.5</v>
      </c>
      <c r="R34" s="94" t="str">
        <f t="shared" si="5"/>
        <v/>
      </c>
      <c r="S34" s="94"/>
      <c r="T34" s="94"/>
      <c r="U34" s="94"/>
    </row>
    <row r="35" ht="15.75" customHeight="1">
      <c r="M35" s="92">
        <v>45788.0</v>
      </c>
      <c r="N35" s="90">
        <v>4521.5</v>
      </c>
      <c r="O35" s="90">
        <v>269.0</v>
      </c>
      <c r="P35" s="90">
        <f t="shared" si="3"/>
        <v>4790.5</v>
      </c>
      <c r="Q35" s="93">
        <f t="shared" si="4"/>
        <v>186</v>
      </c>
      <c r="R35" s="94" t="str">
        <f t="shared" si="5"/>
        <v/>
      </c>
      <c r="S35" s="94"/>
      <c r="T35" s="94"/>
      <c r="U35" s="94"/>
    </row>
    <row r="36" ht="15.75" customHeight="1">
      <c r="M36" s="92">
        <v>45794.0</v>
      </c>
      <c r="N36" s="90">
        <v>4539.0</v>
      </c>
      <c r="O36" s="90">
        <v>270.0</v>
      </c>
      <c r="P36" s="90">
        <f t="shared" si="3"/>
        <v>4809</v>
      </c>
      <c r="Q36" s="93">
        <f t="shared" si="4"/>
        <v>18.5</v>
      </c>
      <c r="R36" s="94" t="str">
        <f t="shared" si="5"/>
        <v/>
      </c>
      <c r="S36" s="94"/>
      <c r="T36" s="94"/>
      <c r="U36" s="94"/>
    </row>
    <row r="37" ht="15.75" customHeight="1">
      <c r="M37" s="92">
        <v>45801.0</v>
      </c>
      <c r="N37" s="90">
        <v>4496.0</v>
      </c>
      <c r="O37" s="90">
        <v>280.0</v>
      </c>
      <c r="P37" s="90">
        <f t="shared" si="3"/>
        <v>4776</v>
      </c>
      <c r="Q37" s="93">
        <f t="shared" si="4"/>
        <v>-33</v>
      </c>
      <c r="R37" s="94" t="str">
        <f t="shared" si="5"/>
        <v/>
      </c>
      <c r="S37" s="94"/>
      <c r="T37" s="94"/>
      <c r="U37" s="94"/>
    </row>
    <row r="38" ht="15.75" customHeight="1">
      <c r="M38" s="92">
        <v>45808.0</v>
      </c>
      <c r="N38" s="90">
        <v>4615.0</v>
      </c>
      <c r="O38" s="90">
        <v>285.0</v>
      </c>
      <c r="P38" s="90">
        <f t="shared" si="3"/>
        <v>4900</v>
      </c>
      <c r="Q38" s="93">
        <f t="shared" si="4"/>
        <v>124</v>
      </c>
      <c r="R38" s="94" t="str">
        <f t="shared" si="5"/>
        <v/>
      </c>
      <c r="S38" s="94"/>
      <c r="T38" s="94"/>
      <c r="U38" s="94"/>
    </row>
    <row r="39" ht="15.75" customHeight="1">
      <c r="M39" s="92">
        <v>45815.0</v>
      </c>
      <c r="N39" s="90">
        <v>4623.5</v>
      </c>
      <c r="O39" s="90">
        <v>309.0</v>
      </c>
      <c r="P39" s="90">
        <f t="shared" si="3"/>
        <v>4932.5</v>
      </c>
      <c r="Q39" s="93">
        <f t="shared" si="4"/>
        <v>32.5</v>
      </c>
      <c r="R39" s="94" t="str">
        <f t="shared" si="5"/>
        <v/>
      </c>
      <c r="S39" s="94"/>
      <c r="T39" s="94"/>
      <c r="U39" s="94"/>
    </row>
    <row r="40" ht="15.75" customHeight="1">
      <c r="M40" s="92">
        <v>45822.0</v>
      </c>
      <c r="N40" s="90">
        <v>4637.5</v>
      </c>
      <c r="O40" s="90">
        <v>312.0</v>
      </c>
      <c r="P40" s="90">
        <f t="shared" si="3"/>
        <v>4949.5</v>
      </c>
      <c r="Q40" s="93">
        <f t="shared" si="4"/>
        <v>17</v>
      </c>
      <c r="R40" s="94" t="str">
        <f t="shared" si="5"/>
        <v/>
      </c>
      <c r="S40" s="94"/>
      <c r="T40" s="94"/>
      <c r="U40" s="94"/>
    </row>
    <row r="41" ht="15.75" customHeight="1">
      <c r="M41" s="92">
        <v>45829.0</v>
      </c>
      <c r="N41" s="90">
        <v>4675.5</v>
      </c>
      <c r="O41" s="90">
        <v>320.0</v>
      </c>
      <c r="P41" s="90">
        <f t="shared" si="3"/>
        <v>4995.5</v>
      </c>
      <c r="Q41" s="93">
        <f t="shared" si="4"/>
        <v>46</v>
      </c>
      <c r="R41" s="94" t="str">
        <f t="shared" si="5"/>
        <v/>
      </c>
      <c r="S41" s="94"/>
      <c r="T41" s="94"/>
      <c r="U41" s="94"/>
    </row>
    <row r="42" ht="15.75" customHeight="1">
      <c r="M42" s="92">
        <v>45836.0</v>
      </c>
      <c r="N42" s="90">
        <v>4692.0</v>
      </c>
      <c r="O42" s="90">
        <v>325.0</v>
      </c>
      <c r="P42" s="90">
        <f t="shared" si="3"/>
        <v>5017</v>
      </c>
      <c r="Q42" s="93">
        <f t="shared" si="4"/>
        <v>21.5</v>
      </c>
      <c r="R42" s="94" t="str">
        <f t="shared" si="5"/>
        <v/>
      </c>
      <c r="S42" s="94"/>
      <c r="T42" s="94"/>
      <c r="U42" s="94"/>
    </row>
    <row r="43" ht="15.75" customHeight="1">
      <c r="M43" s="92">
        <v>45849.0</v>
      </c>
      <c r="N43" s="90">
        <v>4706.0</v>
      </c>
      <c r="O43" s="90">
        <v>328.0</v>
      </c>
      <c r="P43" s="90">
        <f t="shared" si="3"/>
        <v>5034</v>
      </c>
      <c r="Q43" s="93">
        <f t="shared" si="4"/>
        <v>17</v>
      </c>
      <c r="R43" s="94" t="str">
        <f t="shared" si="5"/>
        <v/>
      </c>
      <c r="S43" s="94"/>
      <c r="T43" s="94"/>
      <c r="U43" s="94"/>
    </row>
    <row r="44" ht="15.75" customHeight="1">
      <c r="M44" s="92">
        <v>45856.0</v>
      </c>
      <c r="N44" s="90">
        <v>4801.0</v>
      </c>
      <c r="O44" s="90">
        <v>341.0</v>
      </c>
      <c r="P44" s="90">
        <f t="shared" si="3"/>
        <v>5142</v>
      </c>
      <c r="Q44" s="93">
        <f t="shared" si="4"/>
        <v>108</v>
      </c>
      <c r="R44" s="94" t="str">
        <f t="shared" si="5"/>
        <v/>
      </c>
      <c r="S44" s="94"/>
      <c r="T44" s="94"/>
      <c r="U44" s="94"/>
    </row>
    <row r="45" ht="15.75" customHeight="1">
      <c r="M45" s="92">
        <v>45864.0</v>
      </c>
      <c r="N45" s="90">
        <v>4841.0</v>
      </c>
      <c r="O45" s="90">
        <v>343.0</v>
      </c>
      <c r="P45" s="90">
        <f t="shared" si="3"/>
        <v>5184</v>
      </c>
      <c r="Q45" s="93">
        <f t="shared" si="4"/>
        <v>42</v>
      </c>
      <c r="R45" s="94" t="str">
        <f t="shared" si="5"/>
        <v/>
      </c>
      <c r="S45" s="94"/>
      <c r="T45" s="94"/>
      <c r="U45" s="94"/>
    </row>
    <row r="46" ht="15.75" customHeight="1">
      <c r="M46" s="92">
        <v>45872.0</v>
      </c>
      <c r="N46" s="90">
        <v>4798.0</v>
      </c>
      <c r="O46" s="90">
        <v>369.0</v>
      </c>
      <c r="P46" s="90">
        <f t="shared" si="3"/>
        <v>5167</v>
      </c>
      <c r="Q46" s="93">
        <f t="shared" si="4"/>
        <v>-17</v>
      </c>
      <c r="R46" s="94" t="str">
        <f t="shared" si="5"/>
        <v/>
      </c>
      <c r="S46" s="94"/>
      <c r="T46" s="94"/>
      <c r="U46" s="94"/>
    </row>
    <row r="47" ht="15.75" customHeight="1">
      <c r="M47" s="92">
        <v>45879.0</v>
      </c>
      <c r="N47" s="90">
        <v>4852.0</v>
      </c>
      <c r="O47" s="90">
        <v>305.0</v>
      </c>
      <c r="P47" s="90">
        <f t="shared" si="3"/>
        <v>5157</v>
      </c>
      <c r="Q47" s="93">
        <f t="shared" si="4"/>
        <v>-10</v>
      </c>
      <c r="R47" s="94" t="str">
        <f t="shared" si="5"/>
        <v/>
      </c>
      <c r="S47" s="94"/>
      <c r="T47" s="94"/>
      <c r="U47" s="94"/>
    </row>
    <row r="48" ht="15.75" customHeight="1">
      <c r="M48" s="92">
        <v>45885.0</v>
      </c>
      <c r="N48" s="90">
        <v>4904.0</v>
      </c>
      <c r="O48" s="90">
        <v>372.0</v>
      </c>
      <c r="P48" s="90">
        <f t="shared" si="3"/>
        <v>5276</v>
      </c>
      <c r="Q48" s="93">
        <f t="shared" si="4"/>
        <v>119</v>
      </c>
      <c r="R48" s="94" t="str">
        <f t="shared" si="5"/>
        <v/>
      </c>
      <c r="S48" s="94"/>
      <c r="T48" s="94"/>
      <c r="U48" s="94"/>
    </row>
    <row r="49" ht="15.75" customHeight="1">
      <c r="M49" s="92">
        <v>45893.0</v>
      </c>
      <c r="N49" s="90">
        <v>4577.0</v>
      </c>
      <c r="O49" s="90">
        <v>377.0</v>
      </c>
      <c r="P49" s="90">
        <f t="shared" si="3"/>
        <v>4954</v>
      </c>
      <c r="Q49" s="93">
        <f t="shared" si="4"/>
        <v>-322</v>
      </c>
      <c r="R49" s="94" t="str">
        <f t="shared" si="5"/>
        <v/>
      </c>
      <c r="S49" s="94"/>
      <c r="T49" s="94"/>
      <c r="U49" s="94"/>
    </row>
    <row r="50" ht="15.75" customHeight="1">
      <c r="M50" s="92">
        <v>45899.0</v>
      </c>
      <c r="N50" s="95">
        <v>4600.0</v>
      </c>
      <c r="O50" s="95">
        <v>379.0</v>
      </c>
      <c r="P50" s="90">
        <f t="shared" si="3"/>
        <v>4979</v>
      </c>
      <c r="Q50" s="93">
        <f t="shared" si="4"/>
        <v>25</v>
      </c>
      <c r="R50" s="94" t="str">
        <f t="shared" si="5"/>
        <v/>
      </c>
      <c r="S50" s="94"/>
      <c r="T50" s="94"/>
      <c r="U50" s="94"/>
    </row>
    <row r="51" ht="15.75" customHeight="1">
      <c r="M51" s="92">
        <v>45901.0</v>
      </c>
      <c r="N51" s="90">
        <v>4692.0</v>
      </c>
      <c r="O51" s="90">
        <v>380.0</v>
      </c>
      <c r="P51" s="90">
        <f t="shared" si="3"/>
        <v>5072</v>
      </c>
      <c r="Q51" s="93">
        <f t="shared" si="4"/>
        <v>93</v>
      </c>
      <c r="R51" s="94" t="str">
        <f t="shared" si="5"/>
        <v/>
      </c>
      <c r="S51" s="94"/>
      <c r="T51" s="94"/>
      <c r="U51" s="94"/>
    </row>
    <row r="52" ht="15.75" customHeight="1">
      <c r="M52" s="92">
        <v>45905.0</v>
      </c>
      <c r="N52" s="90">
        <v>4714.0</v>
      </c>
      <c r="O52" s="90">
        <v>385.0</v>
      </c>
      <c r="P52" s="90">
        <f t="shared" si="3"/>
        <v>5099</v>
      </c>
      <c r="Q52" s="93">
        <f t="shared" si="4"/>
        <v>27</v>
      </c>
      <c r="R52" s="94" t="str">
        <f t="shared" si="5"/>
        <v/>
      </c>
      <c r="S52" s="94"/>
      <c r="T52" s="94"/>
      <c r="U52" s="94"/>
    </row>
    <row r="53" ht="15.75" customHeight="1">
      <c r="M53" s="92">
        <v>45907.0</v>
      </c>
      <c r="N53" s="90">
        <v>4725.0</v>
      </c>
      <c r="O53" s="90">
        <v>385.0</v>
      </c>
      <c r="P53" s="90">
        <f t="shared" si="3"/>
        <v>5110</v>
      </c>
      <c r="Q53" s="93">
        <f t="shared" si="4"/>
        <v>11</v>
      </c>
      <c r="R53" s="94" t="str">
        <f t="shared" si="5"/>
        <v/>
      </c>
      <c r="S53" s="94"/>
      <c r="T53" s="94"/>
      <c r="U53" s="94"/>
    </row>
    <row r="54" ht="15.75" customHeight="1">
      <c r="M54" s="92">
        <v>45910.0</v>
      </c>
      <c r="N54" s="90">
        <v>4723.0</v>
      </c>
      <c r="O54" s="90">
        <v>393.0</v>
      </c>
      <c r="P54" s="90">
        <f t="shared" si="3"/>
        <v>5116</v>
      </c>
      <c r="Q54" s="93">
        <f t="shared" si="4"/>
        <v>6</v>
      </c>
      <c r="R54" s="94" t="str">
        <f t="shared" si="5"/>
        <v/>
      </c>
      <c r="S54" s="94"/>
      <c r="T54" s="94"/>
      <c r="U54" s="94"/>
    </row>
    <row r="55" ht="15.75" customHeight="1">
      <c r="M55" s="92">
        <v>45913.0</v>
      </c>
      <c r="N55" s="90">
        <v>4531.0</v>
      </c>
      <c r="O55" s="90">
        <v>401.0</v>
      </c>
      <c r="P55" s="90">
        <f t="shared" si="3"/>
        <v>4932</v>
      </c>
      <c r="Q55" s="93">
        <f t="shared" si="4"/>
        <v>-184</v>
      </c>
      <c r="R55" s="94" t="str">
        <f t="shared" si="5"/>
        <v/>
      </c>
      <c r="S55" s="94"/>
      <c r="T55" s="94"/>
      <c r="U55" s="94"/>
    </row>
    <row r="56" ht="15.75" customHeight="1">
      <c r="M56" s="92">
        <v>45918.0</v>
      </c>
      <c r="N56" s="95">
        <v>4575.0</v>
      </c>
      <c r="O56" s="90">
        <v>409.0</v>
      </c>
      <c r="P56" s="90">
        <f t="shared" si="3"/>
        <v>4984</v>
      </c>
      <c r="Q56" s="93">
        <f t="shared" si="4"/>
        <v>52</v>
      </c>
      <c r="R56" s="94" t="str">
        <f t="shared" si="5"/>
        <v/>
      </c>
      <c r="S56" s="94"/>
      <c r="T56" s="94"/>
      <c r="U56" s="94"/>
    </row>
    <row r="57" ht="15.75" customHeight="1">
      <c r="M57" s="92">
        <v>45920.0</v>
      </c>
      <c r="N57" s="95">
        <v>4581.0</v>
      </c>
      <c r="O57" s="90">
        <v>410.0</v>
      </c>
      <c r="P57" s="90">
        <f t="shared" si="3"/>
        <v>4991</v>
      </c>
      <c r="Q57" s="93">
        <f t="shared" si="4"/>
        <v>7</v>
      </c>
      <c r="R57" s="94" t="str">
        <f t="shared" si="5"/>
        <v/>
      </c>
      <c r="S57" s="94"/>
      <c r="T57" s="94"/>
      <c r="U57" s="94"/>
    </row>
    <row r="58" ht="15.75" customHeight="1">
      <c r="M58" s="92">
        <v>45928.0</v>
      </c>
      <c r="N58" s="90">
        <v>4617.5</v>
      </c>
      <c r="O58" s="90">
        <v>418.0</v>
      </c>
      <c r="P58" s="90">
        <f t="shared" si="3"/>
        <v>5035.5</v>
      </c>
      <c r="Q58" s="93">
        <f t="shared" si="4"/>
        <v>44.5</v>
      </c>
      <c r="R58" s="94" t="str">
        <f t="shared" si="5"/>
        <v/>
      </c>
      <c r="S58" s="94"/>
      <c r="T58" s="94"/>
      <c r="U58" s="94"/>
    </row>
    <row r="59" ht="15.75" customHeight="1">
      <c r="M59" s="92">
        <v>45935.0</v>
      </c>
      <c r="N59" s="95">
        <v>4453.5</v>
      </c>
      <c r="O59" s="90">
        <v>418.0</v>
      </c>
      <c r="P59" s="90">
        <f t="shared" si="3"/>
        <v>4871.5</v>
      </c>
      <c r="Q59" s="93">
        <f t="shared" si="4"/>
        <v>-164</v>
      </c>
      <c r="R59" s="94" t="str">
        <f t="shared" si="5"/>
        <v/>
      </c>
      <c r="S59" s="94"/>
      <c r="T59" s="94"/>
      <c r="U59" s="94"/>
    </row>
    <row r="60" ht="15.75" customHeight="1">
      <c r="M60" s="92">
        <v>45937.0</v>
      </c>
      <c r="N60" s="90">
        <v>4555.5</v>
      </c>
      <c r="O60" s="90">
        <v>421.0</v>
      </c>
      <c r="P60" s="90">
        <f t="shared" si="3"/>
        <v>4976.5</v>
      </c>
      <c r="Q60" s="93">
        <f t="shared" si="4"/>
        <v>105</v>
      </c>
      <c r="R60" s="94" t="str">
        <f t="shared" si="5"/>
        <v/>
      </c>
      <c r="S60" s="94"/>
      <c r="T60" s="94"/>
      <c r="U60" s="94"/>
    </row>
    <row r="61" ht="15.75" customHeight="1">
      <c r="M61" s="92">
        <v>45938.0</v>
      </c>
      <c r="N61" s="90">
        <v>4556.5</v>
      </c>
      <c r="O61" s="90">
        <v>421.0</v>
      </c>
      <c r="P61" s="90">
        <f t="shared" si="3"/>
        <v>4977.5</v>
      </c>
      <c r="Q61" s="93">
        <f t="shared" si="4"/>
        <v>1</v>
      </c>
      <c r="R61" s="94" t="str">
        <f t="shared" si="5"/>
        <v/>
      </c>
      <c r="S61" s="94"/>
      <c r="T61" s="94"/>
      <c r="U61" s="94"/>
    </row>
    <row r="62" ht="15.75" customHeight="1">
      <c r="M62" s="92">
        <v>45942.0</v>
      </c>
      <c r="N62" s="90">
        <v>4199.5</v>
      </c>
      <c r="O62" s="90">
        <v>423.0</v>
      </c>
      <c r="P62" s="90">
        <f t="shared" si="3"/>
        <v>4622.5</v>
      </c>
      <c r="Q62" s="93">
        <f t="shared" si="4"/>
        <v>-355</v>
      </c>
      <c r="R62" s="94" t="str">
        <f t="shared" si="5"/>
        <v/>
      </c>
      <c r="S62" s="94"/>
      <c r="T62" s="94"/>
      <c r="U62" s="94"/>
    </row>
    <row r="63" ht="15.75" customHeight="1">
      <c r="M63" s="92">
        <v>45948.0</v>
      </c>
      <c r="N63" s="90">
        <v>4256.5</v>
      </c>
      <c r="O63" s="90">
        <v>419.0</v>
      </c>
      <c r="P63" s="90">
        <f t="shared" si="3"/>
        <v>4675.5</v>
      </c>
      <c r="Q63" s="93">
        <f t="shared" si="4"/>
        <v>53</v>
      </c>
      <c r="R63" s="94" t="str">
        <f t="shared" si="5"/>
        <v/>
      </c>
      <c r="S63" s="94"/>
      <c r="T63" s="94"/>
      <c r="U63" s="94"/>
    </row>
    <row r="64" ht="15.75" customHeight="1">
      <c r="M64" s="92">
        <v>45956.0</v>
      </c>
      <c r="N64" s="95">
        <v>4293.0</v>
      </c>
      <c r="O64" s="90">
        <v>444.0</v>
      </c>
      <c r="P64" s="90">
        <f t="shared" si="3"/>
        <v>4737</v>
      </c>
      <c r="Q64" s="93">
        <f t="shared" si="4"/>
        <v>61.5</v>
      </c>
      <c r="R64" s="94" t="str">
        <f t="shared" si="5"/>
        <v/>
      </c>
      <c r="S64" s="94"/>
      <c r="T64" s="94"/>
      <c r="U64" s="94"/>
    </row>
    <row r="65" ht="15.75" customHeight="1">
      <c r="M65" s="92">
        <v>45957.0</v>
      </c>
      <c r="N65" s="90">
        <v>4287.0</v>
      </c>
      <c r="O65" s="90">
        <v>444.0</v>
      </c>
      <c r="P65" s="90">
        <f t="shared" si="3"/>
        <v>4731</v>
      </c>
      <c r="Q65" s="93">
        <f t="shared" si="4"/>
        <v>-6</v>
      </c>
      <c r="R65" s="94" t="str">
        <f t="shared" si="5"/>
        <v/>
      </c>
      <c r="S65" s="94"/>
      <c r="T65" s="94"/>
      <c r="U65" s="94"/>
    </row>
    <row r="66" ht="15.75" customHeight="1">
      <c r="M66" s="92">
        <v>45963.0</v>
      </c>
      <c r="N66" s="90">
        <v>4297.0</v>
      </c>
      <c r="O66" s="90">
        <v>446.0</v>
      </c>
      <c r="P66" s="90">
        <f t="shared" si="3"/>
        <v>4743</v>
      </c>
      <c r="Q66" s="93">
        <f t="shared" si="4"/>
        <v>12</v>
      </c>
      <c r="R66" s="94" t="str">
        <f t="shared" si="5"/>
        <v/>
      </c>
      <c r="S66" s="94"/>
      <c r="T66" s="94"/>
      <c r="U66" s="94"/>
    </row>
    <row r="67" ht="15.75" customHeight="1">
      <c r="M67" s="92">
        <v>45983.0</v>
      </c>
      <c r="N67" s="95">
        <v>4518.0</v>
      </c>
      <c r="O67" s="90">
        <v>478.0</v>
      </c>
      <c r="P67" s="90">
        <f t="shared" si="3"/>
        <v>4996</v>
      </c>
      <c r="Q67" s="93">
        <f t="shared" si="4"/>
        <v>253</v>
      </c>
      <c r="R67" s="94" t="str">
        <f t="shared" si="5"/>
        <v/>
      </c>
      <c r="S67" s="94"/>
      <c r="T67" s="94"/>
      <c r="U67" s="94"/>
    </row>
    <row r="68" ht="15.75" customHeight="1">
      <c r="M68" s="92">
        <v>45985.0</v>
      </c>
      <c r="N68" s="90">
        <v>4540.0</v>
      </c>
      <c r="O68" s="90">
        <v>476.0</v>
      </c>
      <c r="P68" s="90">
        <f t="shared" si="3"/>
        <v>5016</v>
      </c>
      <c r="Q68" s="93">
        <f t="shared" si="4"/>
        <v>20</v>
      </c>
      <c r="R68" s="94" t="str">
        <f t="shared" si="5"/>
        <v/>
      </c>
      <c r="S68" s="94"/>
      <c r="T68" s="94"/>
      <c r="U68" s="94"/>
    </row>
    <row r="69" ht="15.75" customHeight="1">
      <c r="M69" s="92">
        <v>45990.0</v>
      </c>
      <c r="N69" s="90">
        <v>4434.0</v>
      </c>
      <c r="O69" s="90">
        <v>442.0</v>
      </c>
      <c r="P69" s="90">
        <f t="shared" si="3"/>
        <v>4876</v>
      </c>
      <c r="Q69" s="93">
        <f t="shared" si="4"/>
        <v>-140</v>
      </c>
      <c r="R69" s="94" t="str">
        <f t="shared" si="5"/>
        <v/>
      </c>
      <c r="S69" s="94"/>
      <c r="T69" s="94"/>
      <c r="U69" s="94"/>
    </row>
    <row r="70" ht="15.75" customHeight="1">
      <c r="M70" s="92">
        <v>45991.0</v>
      </c>
      <c r="N70" s="90">
        <v>4476.0</v>
      </c>
      <c r="O70" s="90">
        <v>451.0</v>
      </c>
      <c r="P70" s="90">
        <f t="shared" si="3"/>
        <v>4927</v>
      </c>
      <c r="Q70" s="93">
        <f t="shared" si="4"/>
        <v>51</v>
      </c>
      <c r="R70" s="94" t="str">
        <f t="shared" si="5"/>
        <v/>
      </c>
      <c r="S70" s="94"/>
      <c r="T70" s="94"/>
      <c r="U70" s="94"/>
    </row>
    <row r="71" ht="15.75" customHeight="1">
      <c r="M71" s="92">
        <v>45992.0</v>
      </c>
      <c r="N71" s="90">
        <v>4454.0</v>
      </c>
      <c r="O71" s="90">
        <v>452.0</v>
      </c>
      <c r="P71" s="90">
        <f t="shared" si="3"/>
        <v>4906</v>
      </c>
      <c r="Q71" s="93">
        <f t="shared" si="4"/>
        <v>-21</v>
      </c>
      <c r="R71" s="94" t="str">
        <f t="shared" si="5"/>
        <v/>
      </c>
      <c r="S71" s="94"/>
      <c r="T71" s="94"/>
      <c r="U71" s="94"/>
    </row>
    <row r="72" ht="15.75" customHeight="1">
      <c r="M72" s="92">
        <v>45997.0</v>
      </c>
      <c r="N72" s="90">
        <v>4222.0</v>
      </c>
      <c r="O72" s="90">
        <v>0.0</v>
      </c>
      <c r="P72" s="90">
        <f t="shared" si="3"/>
        <v>4222</v>
      </c>
      <c r="Q72" s="93">
        <f t="shared" si="4"/>
        <v>-684</v>
      </c>
      <c r="R72" s="94" t="str">
        <f t="shared" si="5"/>
        <v/>
      </c>
      <c r="S72" s="94"/>
      <c r="T72" s="94"/>
      <c r="U72" s="94"/>
    </row>
    <row r="73" ht="15.75" customHeight="1">
      <c r="M73" s="92">
        <v>45998.0</v>
      </c>
      <c r="N73" s="90">
        <v>4469.0</v>
      </c>
      <c r="O73" s="90">
        <v>0.0</v>
      </c>
      <c r="P73" s="90">
        <f t="shared" si="3"/>
        <v>4469</v>
      </c>
      <c r="Q73" s="93">
        <f t="shared" si="4"/>
        <v>247</v>
      </c>
      <c r="R73" s="94" t="str">
        <f t="shared" si="5"/>
        <v/>
      </c>
      <c r="S73" s="94"/>
      <c r="T73" s="94"/>
      <c r="U73" s="94"/>
    </row>
    <row r="74" ht="15.75" customHeight="1">
      <c r="M74" s="92">
        <v>46003.0</v>
      </c>
      <c r="N74" s="90">
        <v>4439.0</v>
      </c>
      <c r="O74" s="90">
        <v>0.0</v>
      </c>
      <c r="P74" s="90">
        <f t="shared" si="3"/>
        <v>4439</v>
      </c>
      <c r="Q74" s="93">
        <f t="shared" si="4"/>
        <v>-30</v>
      </c>
      <c r="R74" s="94" t="str">
        <f t="shared" si="5"/>
        <v/>
      </c>
      <c r="S74" s="94"/>
      <c r="T74" s="94"/>
      <c r="U74" s="94"/>
    </row>
    <row r="75" ht="15.75" customHeight="1">
      <c r="M75" s="92">
        <v>46006.0</v>
      </c>
      <c r="N75" s="90">
        <v>4393.0</v>
      </c>
      <c r="O75" s="90">
        <v>0.0</v>
      </c>
      <c r="P75" s="90">
        <f t="shared" si="3"/>
        <v>4393</v>
      </c>
      <c r="Q75" s="93">
        <f t="shared" si="4"/>
        <v>-46</v>
      </c>
      <c r="R75" s="94" t="str">
        <f t="shared" si="5"/>
        <v/>
      </c>
      <c r="S75" s="94"/>
      <c r="T75" s="94"/>
      <c r="U75" s="94"/>
    </row>
    <row r="76" ht="15.75" customHeight="1">
      <c r="M76" s="92">
        <v>46010.0</v>
      </c>
      <c r="N76" s="90">
        <v>4477.0</v>
      </c>
      <c r="O76" s="90">
        <v>0.0</v>
      </c>
      <c r="P76" s="90">
        <f t="shared" si="3"/>
        <v>4477</v>
      </c>
      <c r="Q76" s="93">
        <f t="shared" si="4"/>
        <v>84</v>
      </c>
      <c r="R76" s="94" t="str">
        <f t="shared" si="5"/>
        <v/>
      </c>
      <c r="S76" s="94"/>
      <c r="T76" s="94"/>
      <c r="U76" s="94"/>
    </row>
    <row r="77" ht="15.75" customHeight="1">
      <c r="M77" s="92">
        <v>46010.0</v>
      </c>
      <c r="N77" s="90">
        <v>4522.0</v>
      </c>
      <c r="O77" s="90">
        <v>0.0</v>
      </c>
      <c r="P77" s="90">
        <f t="shared" si="3"/>
        <v>4522</v>
      </c>
      <c r="Q77" s="93">
        <f t="shared" si="4"/>
        <v>45</v>
      </c>
      <c r="R77" s="94" t="str">
        <f t="shared" si="5"/>
        <v/>
      </c>
      <c r="S77" s="94"/>
      <c r="T77" s="94"/>
      <c r="U77" s="94"/>
    </row>
    <row r="78" ht="15.75" customHeight="1">
      <c r="M78" s="92">
        <v>46013.0</v>
      </c>
      <c r="N78" s="90">
        <v>4177.0</v>
      </c>
      <c r="O78" s="90">
        <v>0.0</v>
      </c>
      <c r="P78" s="90">
        <f t="shared" si="3"/>
        <v>4177</v>
      </c>
      <c r="Q78" s="93">
        <f t="shared" si="4"/>
        <v>-345</v>
      </c>
      <c r="R78" s="94" t="str">
        <f t="shared" si="5"/>
        <v/>
      </c>
      <c r="S78" s="94"/>
      <c r="T78" s="94"/>
      <c r="U78" s="94"/>
    </row>
    <row r="79" ht="15.75" customHeight="1">
      <c r="M79" s="92">
        <v>46020.0</v>
      </c>
      <c r="N79" s="90">
        <v>4205.0</v>
      </c>
      <c r="O79" s="90">
        <v>0.0</v>
      </c>
      <c r="P79" s="90">
        <f t="shared" si="3"/>
        <v>4205</v>
      </c>
      <c r="Q79" s="93">
        <f t="shared" si="4"/>
        <v>28</v>
      </c>
      <c r="R79" s="94" t="str">
        <f t="shared" si="5"/>
        <v/>
      </c>
      <c r="S79" s="94"/>
      <c r="T79" s="94"/>
      <c r="U79" s="94"/>
    </row>
    <row r="80" ht="15.75" customHeight="1">
      <c r="M80" s="92">
        <v>46032.0</v>
      </c>
      <c r="N80" s="90">
        <v>3051.0</v>
      </c>
      <c r="O80" s="90">
        <v>0.0</v>
      </c>
      <c r="P80" s="90">
        <f t="shared" si="3"/>
        <v>3051</v>
      </c>
      <c r="Q80" s="93">
        <f t="shared" si="4"/>
        <v>-1154</v>
      </c>
      <c r="R80" s="94" t="str">
        <f t="shared" si="5"/>
        <v/>
      </c>
      <c r="S80" s="94"/>
      <c r="T80" s="94"/>
      <c r="U80" s="94"/>
    </row>
    <row r="81" ht="15.75" customHeight="1">
      <c r="M81" s="92">
        <v>46040.0</v>
      </c>
      <c r="N81" s="95">
        <v>3088.0</v>
      </c>
      <c r="O81" s="90">
        <v>0.0</v>
      </c>
      <c r="P81" s="90">
        <f t="shared" si="3"/>
        <v>3088</v>
      </c>
      <c r="Q81" s="93">
        <f t="shared" si="4"/>
        <v>37</v>
      </c>
      <c r="R81" s="94" t="str">
        <f t="shared" si="5"/>
        <v/>
      </c>
      <c r="S81" s="94"/>
      <c r="T81" s="94"/>
      <c r="U81" s="94"/>
    </row>
    <row r="82" ht="15.75" customHeight="1">
      <c r="M82" s="92">
        <v>46047.0</v>
      </c>
      <c r="N82" s="90">
        <v>3098.0</v>
      </c>
      <c r="O82" s="90">
        <v>0.0</v>
      </c>
      <c r="P82" s="90">
        <f t="shared" si="3"/>
        <v>3098</v>
      </c>
      <c r="Q82" s="93">
        <f t="shared" si="4"/>
        <v>10</v>
      </c>
      <c r="R82" s="94" t="str">
        <f t="shared" si="5"/>
        <v/>
      </c>
      <c r="S82" s="94"/>
      <c r="T82" s="94"/>
      <c r="U82" s="94"/>
    </row>
    <row r="83" ht="15.75" customHeight="1">
      <c r="M83" s="92">
        <v>46061.0</v>
      </c>
      <c r="N83" s="90">
        <v>3212.0</v>
      </c>
      <c r="O83" s="90">
        <v>0.0</v>
      </c>
      <c r="P83" s="90">
        <f t="shared" si="3"/>
        <v>3212</v>
      </c>
      <c r="Q83" s="93">
        <f t="shared" si="4"/>
        <v>114</v>
      </c>
      <c r="R83" s="94" t="str">
        <f t="shared" si="5"/>
        <v/>
      </c>
      <c r="S83" s="94"/>
      <c r="T83" s="94"/>
      <c r="U83" s="94"/>
    </row>
    <row r="84" ht="15.75" customHeight="1">
      <c r="M84" s="92">
        <v>46069.0</v>
      </c>
      <c r="N84" s="90">
        <v>3251.0</v>
      </c>
      <c r="O84" s="90">
        <v>0.0</v>
      </c>
      <c r="P84" s="90">
        <f t="shared" si="3"/>
        <v>3251</v>
      </c>
      <c r="Q84" s="93">
        <f t="shared" si="4"/>
        <v>39</v>
      </c>
      <c r="R84" s="94" t="str">
        <f t="shared" si="5"/>
        <v/>
      </c>
      <c r="S84" s="94"/>
      <c r="T84" s="94"/>
      <c r="U84" s="94"/>
    </row>
    <row r="85" ht="15.75" customHeight="1">
      <c r="M85" s="92">
        <v>46075.0</v>
      </c>
      <c r="N85" s="90">
        <v>3254.0</v>
      </c>
      <c r="O85" s="90">
        <v>0.0</v>
      </c>
      <c r="P85" s="90">
        <f t="shared" si="3"/>
        <v>3254</v>
      </c>
      <c r="Q85" s="93">
        <f t="shared" si="4"/>
        <v>3</v>
      </c>
      <c r="R85" s="94" t="str">
        <f t="shared" si="5"/>
        <v/>
      </c>
      <c r="S85" s="94"/>
      <c r="T85" s="94"/>
      <c r="U85" s="94"/>
    </row>
    <row r="86" ht="15.75" customHeight="1">
      <c r="M86" s="92">
        <v>46082.0</v>
      </c>
      <c r="N86" s="90">
        <v>3379.0</v>
      </c>
      <c r="O86" s="90">
        <v>0.0</v>
      </c>
      <c r="P86" s="90">
        <f t="shared" si="3"/>
        <v>3379</v>
      </c>
      <c r="Q86" s="93">
        <f t="shared" si="4"/>
        <v>125</v>
      </c>
      <c r="R86" s="94" t="str">
        <f t="shared" si="5"/>
        <v/>
      </c>
      <c r="S86" s="94"/>
      <c r="T86" s="94"/>
      <c r="U86" s="94"/>
    </row>
    <row r="87" ht="15.75" customHeight="1">
      <c r="M87" s="92">
        <v>46088.0</v>
      </c>
      <c r="N87" s="90">
        <v>3402.0</v>
      </c>
      <c r="O87" s="90">
        <v>0.0</v>
      </c>
      <c r="P87" s="90">
        <f t="shared" si="3"/>
        <v>3402</v>
      </c>
      <c r="Q87" s="93">
        <f t="shared" si="4"/>
        <v>23</v>
      </c>
      <c r="R87" s="94" t="str">
        <f t="shared" si="5"/>
        <v/>
      </c>
      <c r="S87" s="94"/>
      <c r="T87" s="94"/>
      <c r="U87" s="94"/>
    </row>
    <row r="88" ht="15.75" customHeight="1">
      <c r="M88" s="92">
        <v>46095.0</v>
      </c>
      <c r="N88" s="90">
        <v>3435.0</v>
      </c>
      <c r="O88" s="90">
        <v>0.0</v>
      </c>
      <c r="P88" s="90">
        <f t="shared" si="3"/>
        <v>3435</v>
      </c>
      <c r="Q88" s="93">
        <f t="shared" si="4"/>
        <v>33</v>
      </c>
      <c r="R88" s="94" t="str">
        <f t="shared" si="5"/>
        <v/>
      </c>
      <c r="S88" s="94"/>
      <c r="T88" s="94"/>
      <c r="U88" s="94"/>
    </row>
    <row r="89" ht="15.75" customHeight="1">
      <c r="M89" s="92">
        <v>46099.0</v>
      </c>
      <c r="N89" s="90">
        <v>3447.0</v>
      </c>
      <c r="O89" s="90">
        <v>0.0</v>
      </c>
      <c r="P89" s="90">
        <f t="shared" si="3"/>
        <v>3447</v>
      </c>
      <c r="Q89" s="93">
        <f t="shared" si="4"/>
        <v>12</v>
      </c>
      <c r="R89" s="94" t="str">
        <f t="shared" si="5"/>
        <v/>
      </c>
      <c r="S89" s="94"/>
      <c r="T89" s="94"/>
      <c r="U89" s="94"/>
    </row>
    <row r="90" ht="15.75" customHeight="1">
      <c r="M90" s="92">
        <v>46101.0</v>
      </c>
      <c r="N90" s="90">
        <v>3442.0</v>
      </c>
      <c r="O90" s="90">
        <v>0.0</v>
      </c>
      <c r="P90" s="90">
        <f t="shared" si="3"/>
        <v>3442</v>
      </c>
      <c r="Q90" s="93">
        <f t="shared" si="4"/>
        <v>-5</v>
      </c>
      <c r="R90" s="94" t="str">
        <f t="shared" si="5"/>
        <v/>
      </c>
      <c r="S90" s="94"/>
      <c r="T90" s="94"/>
      <c r="U90" s="94"/>
    </row>
    <row r="91" ht="15.75" customHeight="1">
      <c r="M91" s="92">
        <v>46117.0</v>
      </c>
      <c r="N91" s="90">
        <v>3513.0</v>
      </c>
      <c r="O91" s="90">
        <v>0.0</v>
      </c>
      <c r="P91" s="90">
        <f t="shared" si="3"/>
        <v>3513</v>
      </c>
      <c r="Q91" s="93">
        <f t="shared" si="4"/>
        <v>71</v>
      </c>
      <c r="R91" s="94" t="str">
        <f t="shared" si="5"/>
        <v/>
      </c>
      <c r="S91" s="94"/>
      <c r="T91" s="94"/>
      <c r="U91" s="94"/>
    </row>
    <row r="92" ht="15.75" customHeight="1">
      <c r="M92" s="92">
        <v>46124.0</v>
      </c>
      <c r="N92" s="90">
        <v>3573.0</v>
      </c>
      <c r="O92" s="90">
        <v>0.0</v>
      </c>
      <c r="P92" s="90">
        <f t="shared" si="3"/>
        <v>3573</v>
      </c>
      <c r="Q92" s="93">
        <f t="shared" si="4"/>
        <v>60</v>
      </c>
      <c r="R92" s="94" t="str">
        <f t="shared" si="5"/>
        <v/>
      </c>
      <c r="S92" s="94"/>
      <c r="T92" s="94"/>
      <c r="U92" s="94"/>
    </row>
    <row r="93" ht="15.75" customHeight="1">
      <c r="M93" s="92">
        <v>46129.0</v>
      </c>
      <c r="N93" s="90">
        <v>3519.0</v>
      </c>
      <c r="O93" s="90">
        <v>0.0</v>
      </c>
      <c r="P93" s="90">
        <f t="shared" si="3"/>
        <v>3519</v>
      </c>
      <c r="Q93" s="93">
        <f t="shared" si="4"/>
        <v>-54</v>
      </c>
      <c r="R93" s="94" t="str">
        <f t="shared" si="5"/>
        <v/>
      </c>
      <c r="S93" s="94"/>
      <c r="T93" s="94"/>
      <c r="U93" s="94"/>
    </row>
    <row r="94" ht="15.75" customHeight="1">
      <c r="M94" s="92">
        <v>46131.0</v>
      </c>
      <c r="N94" s="90">
        <v>3647.0</v>
      </c>
      <c r="O94" s="90">
        <v>0.0</v>
      </c>
      <c r="P94" s="90">
        <f t="shared" si="3"/>
        <v>3647</v>
      </c>
      <c r="Q94" s="93">
        <f t="shared" si="4"/>
        <v>128</v>
      </c>
      <c r="R94" s="94" t="str">
        <f t="shared" si="5"/>
        <v/>
      </c>
      <c r="S94" s="94"/>
      <c r="T94" s="94"/>
      <c r="U94" s="94"/>
    </row>
    <row r="95" ht="15.75" customHeight="1">
      <c r="M95" s="92">
        <v>46143.0</v>
      </c>
      <c r="N95" s="90">
        <v>3687.0</v>
      </c>
      <c r="O95" s="90">
        <v>0.0</v>
      </c>
      <c r="P95" s="90">
        <f t="shared" si="3"/>
        <v>3687</v>
      </c>
      <c r="Q95" s="93">
        <f t="shared" si="4"/>
        <v>40</v>
      </c>
      <c r="R95" s="94" t="str">
        <f t="shared" si="5"/>
        <v/>
      </c>
      <c r="S95" s="94"/>
      <c r="T95" s="94"/>
      <c r="U95" s="94"/>
    </row>
    <row r="96" ht="15.75" customHeight="1">
      <c r="M96" s="92">
        <v>46158.0</v>
      </c>
      <c r="N96" s="90">
        <v>3723.0</v>
      </c>
      <c r="O96" s="90">
        <v>0.0</v>
      </c>
      <c r="P96" s="90">
        <f t="shared" si="3"/>
        <v>3723</v>
      </c>
      <c r="Q96" s="93">
        <f t="shared" si="4"/>
        <v>36</v>
      </c>
      <c r="R96" s="94" t="str">
        <f t="shared" si="5"/>
        <v/>
      </c>
      <c r="S96" s="94"/>
      <c r="T96" s="94"/>
      <c r="U96" s="94"/>
    </row>
    <row r="97" ht="15.75" customHeight="1">
      <c r="M97" s="92">
        <v>46174.0</v>
      </c>
      <c r="N97" s="90">
        <v>3788.0</v>
      </c>
      <c r="O97" s="90">
        <v>0.0</v>
      </c>
      <c r="P97" s="90">
        <f t="shared" si="3"/>
        <v>3788</v>
      </c>
      <c r="Q97" s="93">
        <f t="shared" si="4"/>
        <v>65</v>
      </c>
      <c r="R97" s="94" t="str">
        <f t="shared" si="5"/>
        <v/>
      </c>
      <c r="S97" s="94"/>
      <c r="T97" s="94"/>
      <c r="U97" s="94"/>
    </row>
    <row r="98" ht="15.75" customHeight="1">
      <c r="M98" s="92">
        <v>46176.0</v>
      </c>
      <c r="N98" s="95">
        <v>3802.0</v>
      </c>
      <c r="O98" s="90">
        <v>0.0</v>
      </c>
      <c r="P98" s="90">
        <f t="shared" si="3"/>
        <v>3802</v>
      </c>
      <c r="Q98" s="93">
        <f t="shared" si="4"/>
        <v>14</v>
      </c>
      <c r="R98" s="94" t="str">
        <f t="shared" si="5"/>
        <v/>
      </c>
      <c r="S98" s="94"/>
      <c r="T98" s="94"/>
      <c r="U98" s="94"/>
    </row>
    <row r="99" ht="15.75" customHeight="1">
      <c r="M99" s="92">
        <v>46181.0</v>
      </c>
      <c r="N99" s="90">
        <v>3854.0</v>
      </c>
      <c r="O99" s="90">
        <v>0.0</v>
      </c>
      <c r="P99" s="90">
        <f t="shared" si="3"/>
        <v>3854</v>
      </c>
      <c r="Q99" s="93">
        <f t="shared" si="4"/>
        <v>52</v>
      </c>
      <c r="R99" s="94" t="str">
        <f t="shared" si="5"/>
        <v/>
      </c>
      <c r="S99" s="94"/>
      <c r="T99" s="94"/>
      <c r="U99" s="94"/>
    </row>
    <row r="100" ht="15.75" customHeight="1">
      <c r="M100" s="92">
        <v>46188.0</v>
      </c>
      <c r="N100" s="90">
        <v>3884.0</v>
      </c>
      <c r="O100" s="90">
        <v>0.0</v>
      </c>
      <c r="P100" s="90">
        <f t="shared" si="3"/>
        <v>3884</v>
      </c>
      <c r="Q100" s="93">
        <f t="shared" si="4"/>
        <v>30</v>
      </c>
      <c r="R100" s="94" t="str">
        <f t="shared" si="5"/>
        <v/>
      </c>
      <c r="S100" s="94"/>
      <c r="T100" s="94"/>
      <c r="U100" s="94"/>
    </row>
    <row r="101" ht="15.75" customHeight="1">
      <c r="M101" s="92">
        <v>46201.0</v>
      </c>
      <c r="N101" s="95">
        <v>3977.0</v>
      </c>
      <c r="O101" s="90">
        <v>0.0</v>
      </c>
      <c r="P101" s="90">
        <f t="shared" si="3"/>
        <v>3977</v>
      </c>
      <c r="Q101" s="93">
        <f t="shared" si="4"/>
        <v>93</v>
      </c>
      <c r="R101" s="94" t="str">
        <f t="shared" si="5"/>
        <v/>
      </c>
      <c r="S101" s="94"/>
      <c r="T101" s="94"/>
      <c r="U101" s="94"/>
    </row>
    <row r="102" ht="15.75" customHeight="1">
      <c r="M102" s="92">
        <v>46208.0</v>
      </c>
      <c r="N102" s="90">
        <v>3995.0</v>
      </c>
      <c r="O102" s="90">
        <v>0.0</v>
      </c>
      <c r="P102" s="90">
        <f t="shared" si="3"/>
        <v>3995</v>
      </c>
      <c r="Q102" s="93">
        <f t="shared" si="4"/>
        <v>18</v>
      </c>
      <c r="R102" s="94" t="str">
        <f t="shared" si="5"/>
        <v/>
      </c>
      <c r="S102" s="94"/>
      <c r="T102" s="94"/>
      <c r="U102" s="94"/>
    </row>
    <row r="103" ht="15.75" customHeight="1">
      <c r="M103" s="92">
        <v>46213.0</v>
      </c>
      <c r="N103" s="90">
        <v>3964.0</v>
      </c>
      <c r="O103" s="90">
        <v>0.0</v>
      </c>
      <c r="P103" s="90">
        <f t="shared" si="3"/>
        <v>3964</v>
      </c>
      <c r="Q103" s="93">
        <f t="shared" si="4"/>
        <v>-31</v>
      </c>
      <c r="R103" s="94" t="str">
        <f t="shared" si="5"/>
        <v/>
      </c>
      <c r="S103" s="94"/>
      <c r="T103" s="94"/>
      <c r="U103" s="94"/>
    </row>
    <row r="104" ht="15.75" customHeight="1">
      <c r="M104" s="92">
        <v>46213.0</v>
      </c>
      <c r="N104" s="90">
        <v>3984.0</v>
      </c>
      <c r="O104" s="90">
        <v>0.0</v>
      </c>
      <c r="P104" s="90">
        <f t="shared" si="3"/>
        <v>3984</v>
      </c>
      <c r="Q104" s="93">
        <f t="shared" si="4"/>
        <v>20</v>
      </c>
      <c r="R104" s="94">
        <f t="shared" si="5"/>
        <v>166</v>
      </c>
      <c r="S104" s="94"/>
      <c r="T104" s="94"/>
      <c r="U104" s="94"/>
    </row>
    <row r="105" ht="15.75" customHeight="1">
      <c r="M105" s="92"/>
      <c r="N105" s="90"/>
      <c r="O105" s="90"/>
      <c r="P105" s="90">
        <f t="shared" si="3"/>
        <v>0</v>
      </c>
      <c r="Q105" s="93">
        <f t="shared" si="4"/>
        <v>0</v>
      </c>
      <c r="R105" s="94" t="str">
        <f t="shared" si="5"/>
        <v/>
      </c>
      <c r="S105" s="94"/>
      <c r="T105" s="94"/>
      <c r="U105" s="94"/>
    </row>
    <row r="106" ht="15.75" customHeight="1">
      <c r="M106" s="92"/>
      <c r="N106" s="90"/>
      <c r="O106" s="90"/>
      <c r="P106" s="90">
        <f t="shared" si="3"/>
        <v>0</v>
      </c>
      <c r="Q106" s="93">
        <f t="shared" si="4"/>
        <v>0</v>
      </c>
      <c r="R106" s="94" t="str">
        <f t="shared" si="5"/>
        <v/>
      </c>
      <c r="S106" s="94"/>
      <c r="T106" s="94"/>
      <c r="U106" s="94"/>
    </row>
    <row r="107" ht="15.75" customHeight="1">
      <c r="M107" s="92"/>
      <c r="N107" s="90"/>
      <c r="O107" s="90"/>
      <c r="P107" s="90">
        <f t="shared" si="3"/>
        <v>0</v>
      </c>
      <c r="Q107" s="93">
        <f t="shared" si="4"/>
        <v>0</v>
      </c>
      <c r="R107" s="94" t="str">
        <f t="shared" si="5"/>
        <v/>
      </c>
      <c r="S107" s="94"/>
      <c r="T107" s="94"/>
      <c r="U107" s="94"/>
    </row>
    <row r="108" ht="15.75" customHeight="1">
      <c r="M108" s="92"/>
      <c r="N108" s="90"/>
      <c r="O108" s="90"/>
      <c r="P108" s="90">
        <f t="shared" si="3"/>
        <v>0</v>
      </c>
      <c r="Q108" s="93">
        <f t="shared" si="4"/>
        <v>0</v>
      </c>
      <c r="R108" s="94" t="str">
        <f t="shared" si="5"/>
        <v/>
      </c>
      <c r="S108" s="94"/>
      <c r="T108" s="94"/>
      <c r="U108" s="94"/>
    </row>
    <row r="109" ht="15.75" customHeight="1">
      <c r="M109" s="92"/>
      <c r="N109" s="90"/>
      <c r="O109" s="90"/>
      <c r="P109" s="90">
        <f t="shared" si="3"/>
        <v>0</v>
      </c>
      <c r="Q109" s="93">
        <f t="shared" si="4"/>
        <v>0</v>
      </c>
      <c r="R109" s="94" t="str">
        <f t="shared" si="5"/>
        <v/>
      </c>
      <c r="S109" s="105"/>
      <c r="T109" s="105"/>
      <c r="U109" s="105"/>
    </row>
    <row r="110" ht="15.75" customHeight="1">
      <c r="M110" s="92"/>
      <c r="N110" s="90"/>
      <c r="O110" s="90"/>
      <c r="P110" s="90">
        <f t="shared" si="3"/>
        <v>0</v>
      </c>
      <c r="Q110" s="93">
        <f t="shared" si="4"/>
        <v>0</v>
      </c>
      <c r="R110" s="94" t="str">
        <f t="shared" si="5"/>
        <v/>
      </c>
      <c r="S110" s="105"/>
      <c r="T110" s="105"/>
      <c r="U110" s="105"/>
    </row>
    <row r="111" ht="15.75" customHeight="1">
      <c r="M111" s="92"/>
      <c r="N111" s="90"/>
      <c r="O111" s="90"/>
      <c r="P111" s="90">
        <f t="shared" si="3"/>
        <v>0</v>
      </c>
      <c r="Q111" s="93">
        <f t="shared" si="4"/>
        <v>0</v>
      </c>
      <c r="R111" s="94" t="str">
        <f t="shared" si="5"/>
        <v/>
      </c>
      <c r="S111" s="105"/>
      <c r="T111" s="105"/>
      <c r="U111" s="105"/>
    </row>
    <row r="112" ht="15.75" customHeight="1">
      <c r="M112" s="92"/>
      <c r="N112" s="90"/>
      <c r="O112" s="90"/>
      <c r="P112" s="90">
        <f t="shared" si="3"/>
        <v>0</v>
      </c>
      <c r="Q112" s="93">
        <f t="shared" si="4"/>
        <v>0</v>
      </c>
      <c r="R112" s="94" t="str">
        <f t="shared" si="5"/>
        <v/>
      </c>
      <c r="S112" s="105"/>
      <c r="T112" s="105"/>
      <c r="U112" s="105"/>
    </row>
    <row r="113" ht="15.75" customHeight="1">
      <c r="M113" s="92"/>
      <c r="N113" s="90"/>
      <c r="O113" s="90"/>
      <c r="P113" s="90">
        <f t="shared" si="3"/>
        <v>0</v>
      </c>
      <c r="Q113" s="93">
        <f t="shared" si="4"/>
        <v>0</v>
      </c>
      <c r="R113" s="94" t="str">
        <f t="shared" si="5"/>
        <v/>
      </c>
      <c r="S113" s="105"/>
      <c r="T113" s="105"/>
      <c r="U113" s="105"/>
    </row>
    <row r="114" ht="15.75" customHeight="1">
      <c r="M114" s="92"/>
      <c r="N114" s="90"/>
      <c r="O114" s="90"/>
      <c r="P114" s="90">
        <f t="shared" si="3"/>
        <v>0</v>
      </c>
      <c r="Q114" s="93">
        <f t="shared" si="4"/>
        <v>0</v>
      </c>
      <c r="R114" s="94" t="str">
        <f t="shared" si="5"/>
        <v/>
      </c>
      <c r="S114" s="105"/>
      <c r="T114" s="105"/>
      <c r="U114" s="105"/>
    </row>
    <row r="115" ht="15.75" customHeight="1">
      <c r="M115" s="92"/>
      <c r="N115" s="90"/>
      <c r="O115" s="90"/>
      <c r="P115" s="90">
        <f t="shared" si="3"/>
        <v>0</v>
      </c>
      <c r="Q115" s="93">
        <f t="shared" si="4"/>
        <v>0</v>
      </c>
      <c r="R115" s="94" t="str">
        <f t="shared" si="5"/>
        <v/>
      </c>
      <c r="S115" s="105"/>
      <c r="T115" s="105"/>
      <c r="U115" s="105"/>
    </row>
    <row r="116" ht="15.75" customHeight="1">
      <c r="M116" s="92"/>
      <c r="N116" s="90"/>
      <c r="O116" s="90"/>
      <c r="P116" s="90">
        <f t="shared" si="3"/>
        <v>0</v>
      </c>
      <c r="Q116" s="93">
        <f t="shared" si="4"/>
        <v>0</v>
      </c>
      <c r="R116" s="94" t="str">
        <f t="shared" si="5"/>
        <v/>
      </c>
      <c r="S116" s="105"/>
      <c r="T116" s="105"/>
      <c r="U116" s="105"/>
    </row>
    <row r="117" ht="15.75" customHeight="1">
      <c r="M117" s="92"/>
      <c r="N117" s="90"/>
      <c r="O117" s="90"/>
      <c r="P117" s="90">
        <f t="shared" si="3"/>
        <v>0</v>
      </c>
      <c r="Q117" s="93">
        <f t="shared" si="4"/>
        <v>0</v>
      </c>
      <c r="R117" s="94" t="str">
        <f t="shared" si="5"/>
        <v/>
      </c>
      <c r="S117" s="105"/>
      <c r="T117" s="105"/>
      <c r="U117" s="105"/>
    </row>
    <row r="118" ht="15.75" customHeight="1">
      <c r="M118" s="92"/>
      <c r="N118" s="90"/>
      <c r="O118" s="90"/>
      <c r="P118" s="90">
        <f t="shared" si="3"/>
        <v>0</v>
      </c>
      <c r="Q118" s="93">
        <f t="shared" si="4"/>
        <v>0</v>
      </c>
      <c r="R118" s="94" t="str">
        <f t="shared" si="5"/>
        <v/>
      </c>
      <c r="S118" s="105"/>
      <c r="T118" s="105"/>
      <c r="U118" s="105"/>
    </row>
    <row r="119" ht="15.75" customHeight="1">
      <c r="M119" s="92"/>
      <c r="N119" s="90"/>
      <c r="O119" s="90"/>
      <c r="P119" s="90">
        <f t="shared" si="3"/>
        <v>0</v>
      </c>
      <c r="Q119" s="93">
        <f t="shared" si="4"/>
        <v>0</v>
      </c>
      <c r="R119" s="94" t="str">
        <f t="shared" si="5"/>
        <v/>
      </c>
      <c r="S119" s="105"/>
      <c r="T119" s="105"/>
      <c r="U119" s="105"/>
    </row>
    <row r="120" ht="15.75" customHeight="1">
      <c r="M120" s="92"/>
      <c r="N120" s="90"/>
      <c r="O120" s="90"/>
      <c r="P120" s="90">
        <f t="shared" si="3"/>
        <v>0</v>
      </c>
      <c r="Q120" s="93">
        <f t="shared" si="4"/>
        <v>0</v>
      </c>
      <c r="R120" s="94" t="str">
        <f t="shared" si="5"/>
        <v/>
      </c>
      <c r="S120" s="105"/>
      <c r="T120" s="105"/>
      <c r="U120" s="105"/>
    </row>
    <row r="121" ht="15.75" customHeight="1">
      <c r="M121" s="92"/>
      <c r="N121" s="90"/>
      <c r="O121" s="90"/>
      <c r="P121" s="90">
        <f t="shared" si="3"/>
        <v>0</v>
      </c>
      <c r="Q121" s="93">
        <f t="shared" si="4"/>
        <v>0</v>
      </c>
      <c r="R121" s="94" t="str">
        <f t="shared" si="5"/>
        <v/>
      </c>
      <c r="S121" s="105"/>
      <c r="T121" s="105"/>
      <c r="U121" s="105"/>
    </row>
    <row r="122" ht="15.75" customHeight="1">
      <c r="M122" s="92"/>
      <c r="N122" s="90"/>
      <c r="O122" s="90"/>
      <c r="P122" s="90">
        <f t="shared" si="3"/>
        <v>0</v>
      </c>
      <c r="Q122" s="93">
        <f t="shared" si="4"/>
        <v>0</v>
      </c>
      <c r="R122" s="94" t="str">
        <f t="shared" si="5"/>
        <v/>
      </c>
      <c r="S122" s="105"/>
      <c r="T122" s="105"/>
      <c r="U122" s="105"/>
    </row>
    <row r="123" ht="15.75" customHeight="1">
      <c r="M123" s="92"/>
      <c r="N123" s="90"/>
      <c r="O123" s="90"/>
      <c r="P123" s="90">
        <f t="shared" si="3"/>
        <v>0</v>
      </c>
      <c r="Q123" s="93">
        <f t="shared" si="4"/>
        <v>0</v>
      </c>
      <c r="R123" s="94" t="str">
        <f t="shared" si="5"/>
        <v/>
      </c>
      <c r="S123" s="105"/>
      <c r="T123" s="105"/>
      <c r="U123" s="105"/>
    </row>
    <row r="124" ht="15.75" customHeight="1">
      <c r="M124" s="92"/>
      <c r="N124" s="90"/>
      <c r="O124" s="90"/>
      <c r="P124" s="90">
        <f t="shared" si="3"/>
        <v>0</v>
      </c>
      <c r="Q124" s="93">
        <f t="shared" si="4"/>
        <v>0</v>
      </c>
      <c r="R124" s="94" t="str">
        <f t="shared" si="5"/>
        <v/>
      </c>
      <c r="S124" s="105"/>
      <c r="T124" s="105"/>
      <c r="U124" s="105"/>
    </row>
    <row r="125" ht="15.75" customHeight="1">
      <c r="M125" s="92"/>
      <c r="N125" s="90"/>
      <c r="O125" s="90"/>
      <c r="P125" s="90">
        <f t="shared" si="3"/>
        <v>0</v>
      </c>
      <c r="Q125" s="93">
        <f t="shared" si="4"/>
        <v>0</v>
      </c>
      <c r="R125" s="94" t="str">
        <f t="shared" si="5"/>
        <v/>
      </c>
      <c r="S125" s="105"/>
      <c r="T125" s="105"/>
      <c r="U125" s="105"/>
    </row>
    <row r="126" ht="15.75" customHeight="1">
      <c r="M126" s="92"/>
      <c r="N126" s="90"/>
      <c r="O126" s="90"/>
      <c r="P126" s="90">
        <f t="shared" si="3"/>
        <v>0</v>
      </c>
      <c r="Q126" s="93">
        <f t="shared" si="4"/>
        <v>0</v>
      </c>
      <c r="R126" s="94" t="str">
        <f t="shared" si="5"/>
        <v/>
      </c>
      <c r="S126" s="105"/>
      <c r="T126" s="105"/>
      <c r="U126" s="105"/>
    </row>
    <row r="127" ht="15.75" customHeight="1">
      <c r="M127" s="92"/>
      <c r="N127" s="90"/>
      <c r="O127" s="90"/>
      <c r="P127" s="90">
        <f t="shared" si="3"/>
        <v>0</v>
      </c>
      <c r="Q127" s="93">
        <f t="shared" si="4"/>
        <v>0</v>
      </c>
      <c r="R127" s="94" t="str">
        <f t="shared" si="5"/>
        <v/>
      </c>
      <c r="S127" s="105"/>
      <c r="T127" s="105"/>
      <c r="U127" s="105"/>
    </row>
    <row r="128" ht="15.75" customHeight="1">
      <c r="M128" s="92"/>
      <c r="N128" s="90"/>
      <c r="O128" s="90"/>
      <c r="P128" s="90">
        <f t="shared" si="3"/>
        <v>0</v>
      </c>
      <c r="Q128" s="93">
        <f t="shared" si="4"/>
        <v>0</v>
      </c>
      <c r="R128" s="94" t="str">
        <f t="shared" si="5"/>
        <v/>
      </c>
      <c r="S128" s="105"/>
      <c r="T128" s="105"/>
      <c r="U128" s="105"/>
    </row>
    <row r="129" ht="15.75" customHeight="1">
      <c r="M129" s="92"/>
      <c r="N129" s="90"/>
      <c r="O129" s="90"/>
      <c r="P129" s="90">
        <f t="shared" si="3"/>
        <v>0</v>
      </c>
      <c r="Q129" s="93">
        <f t="shared" si="4"/>
        <v>0</v>
      </c>
      <c r="R129" s="94" t="str">
        <f t="shared" si="5"/>
        <v/>
      </c>
      <c r="S129" s="105"/>
      <c r="T129" s="105"/>
      <c r="U129" s="105"/>
    </row>
    <row r="130" ht="15.75" customHeight="1">
      <c r="M130" s="92"/>
      <c r="N130" s="90"/>
      <c r="O130" s="90"/>
      <c r="P130" s="90">
        <f t="shared" si="3"/>
        <v>0</v>
      </c>
      <c r="Q130" s="93">
        <f t="shared" si="4"/>
        <v>0</v>
      </c>
      <c r="R130" s="94" t="str">
        <f t="shared" si="5"/>
        <v/>
      </c>
      <c r="S130" s="105"/>
      <c r="T130" s="105"/>
      <c r="U130" s="105"/>
    </row>
    <row r="131" ht="15.75" customHeight="1">
      <c r="M131" s="92"/>
      <c r="N131" s="90"/>
      <c r="O131" s="90"/>
      <c r="P131" s="90">
        <f t="shared" si="3"/>
        <v>0</v>
      </c>
      <c r="Q131" s="93">
        <f t="shared" si="4"/>
        <v>0</v>
      </c>
      <c r="R131" s="94" t="str">
        <f t="shared" si="5"/>
        <v/>
      </c>
      <c r="S131" s="105"/>
      <c r="T131" s="105"/>
      <c r="U131" s="105"/>
    </row>
    <row r="132" ht="15.75" customHeight="1">
      <c r="M132" s="92"/>
      <c r="N132" s="90"/>
      <c r="O132" s="90"/>
      <c r="P132" s="90">
        <f t="shared" si="3"/>
        <v>0</v>
      </c>
      <c r="Q132" s="93">
        <f t="shared" si="4"/>
        <v>0</v>
      </c>
      <c r="R132" s="94" t="str">
        <f t="shared" si="5"/>
        <v/>
      </c>
      <c r="S132" s="105"/>
      <c r="T132" s="105"/>
      <c r="U132" s="105"/>
    </row>
    <row r="133" ht="15.75" customHeight="1">
      <c r="M133" s="92"/>
      <c r="N133" s="90"/>
      <c r="O133" s="90"/>
      <c r="P133" s="90">
        <f t="shared" si="3"/>
        <v>0</v>
      </c>
      <c r="Q133" s="93">
        <f t="shared" si="4"/>
        <v>0</v>
      </c>
      <c r="R133" s="94" t="str">
        <f t="shared" si="5"/>
        <v/>
      </c>
      <c r="S133" s="105"/>
      <c r="T133" s="105"/>
      <c r="U133" s="105"/>
    </row>
    <row r="134" ht="15.75" customHeight="1">
      <c r="M134" s="92"/>
      <c r="N134" s="90"/>
      <c r="O134" s="90"/>
      <c r="P134" s="90">
        <f t="shared" si="3"/>
        <v>0</v>
      </c>
      <c r="Q134" s="93">
        <f t="shared" si="4"/>
        <v>0</v>
      </c>
      <c r="R134" s="94" t="str">
        <f t="shared" si="5"/>
        <v/>
      </c>
      <c r="S134" s="105"/>
      <c r="T134" s="105"/>
      <c r="U134" s="105"/>
    </row>
    <row r="135" ht="15.75" customHeight="1">
      <c r="M135" s="92"/>
      <c r="N135" s="90"/>
      <c r="O135" s="90"/>
      <c r="P135" s="90">
        <f t="shared" si="3"/>
        <v>0</v>
      </c>
      <c r="Q135" s="93">
        <f t="shared" si="4"/>
        <v>0</v>
      </c>
      <c r="R135" s="94" t="str">
        <f t="shared" si="5"/>
        <v/>
      </c>
      <c r="S135" s="105"/>
      <c r="T135" s="105"/>
      <c r="U135" s="105"/>
    </row>
    <row r="136" ht="15.75" customHeight="1">
      <c r="M136" s="92"/>
      <c r="N136" s="90"/>
      <c r="O136" s="90"/>
      <c r="P136" s="90">
        <f t="shared" si="3"/>
        <v>0</v>
      </c>
      <c r="Q136" s="93">
        <f t="shared" si="4"/>
        <v>0</v>
      </c>
      <c r="R136" s="94" t="str">
        <f t="shared" si="5"/>
        <v/>
      </c>
      <c r="S136" s="105"/>
      <c r="T136" s="105"/>
      <c r="U136" s="105"/>
    </row>
    <row r="137" ht="15.75" customHeight="1">
      <c r="M137" s="92"/>
      <c r="N137" s="90"/>
      <c r="O137" s="90"/>
      <c r="P137" s="90">
        <f t="shared" si="3"/>
        <v>0</v>
      </c>
      <c r="Q137" s="93">
        <f t="shared" si="4"/>
        <v>0</v>
      </c>
      <c r="R137" s="94" t="str">
        <f t="shared" si="5"/>
        <v/>
      </c>
      <c r="S137" s="105"/>
      <c r="T137" s="105"/>
      <c r="U137" s="105"/>
    </row>
    <row r="138" ht="15.75" customHeight="1">
      <c r="M138" s="92"/>
      <c r="N138" s="90"/>
      <c r="O138" s="90"/>
      <c r="P138" s="90">
        <f t="shared" si="3"/>
        <v>0</v>
      </c>
      <c r="Q138" s="93">
        <f t="shared" si="4"/>
        <v>0</v>
      </c>
      <c r="R138" s="94" t="str">
        <f t="shared" si="5"/>
        <v/>
      </c>
      <c r="S138" s="105"/>
      <c r="T138" s="105"/>
      <c r="U138" s="105"/>
    </row>
    <row r="139" ht="15.75" customHeight="1">
      <c r="M139" s="92"/>
      <c r="N139" s="90"/>
      <c r="O139" s="90"/>
      <c r="P139" s="90">
        <f t="shared" si="3"/>
        <v>0</v>
      </c>
      <c r="Q139" s="93">
        <f t="shared" si="4"/>
        <v>0</v>
      </c>
      <c r="R139" s="94" t="str">
        <f t="shared" si="5"/>
        <v/>
      </c>
      <c r="S139" s="105"/>
      <c r="T139" s="105"/>
      <c r="U139" s="105"/>
    </row>
    <row r="140" ht="15.75" customHeight="1">
      <c r="M140" s="92"/>
      <c r="N140" s="90"/>
      <c r="O140" s="90"/>
      <c r="P140" s="90">
        <f t="shared" si="3"/>
        <v>0</v>
      </c>
      <c r="Q140" s="93">
        <f t="shared" si="4"/>
        <v>0</v>
      </c>
      <c r="R140" s="94" t="str">
        <f t="shared" si="5"/>
        <v/>
      </c>
      <c r="S140" s="105"/>
      <c r="T140" s="105"/>
      <c r="U140" s="105"/>
    </row>
    <row r="141" ht="15.75" customHeight="1">
      <c r="M141" s="92"/>
      <c r="N141" s="90"/>
      <c r="O141" s="90"/>
      <c r="P141" s="90">
        <f t="shared" si="3"/>
        <v>0</v>
      </c>
      <c r="Q141" s="93">
        <f t="shared" si="4"/>
        <v>0</v>
      </c>
      <c r="R141" s="94" t="str">
        <f t="shared" si="5"/>
        <v/>
      </c>
      <c r="S141" s="105"/>
      <c r="T141" s="105"/>
      <c r="U141" s="105"/>
    </row>
    <row r="142" ht="15.75" customHeight="1">
      <c r="M142" s="92"/>
      <c r="N142" s="90"/>
      <c r="O142" s="90"/>
      <c r="P142" s="90">
        <f t="shared" si="3"/>
        <v>0</v>
      </c>
      <c r="Q142" s="93">
        <f t="shared" si="4"/>
        <v>0</v>
      </c>
      <c r="R142" s="94" t="str">
        <f t="shared" si="5"/>
        <v/>
      </c>
      <c r="S142" s="105"/>
      <c r="T142" s="105"/>
      <c r="U142" s="105"/>
    </row>
    <row r="143" ht="15.75" customHeight="1">
      <c r="M143" s="92"/>
      <c r="N143" s="90"/>
      <c r="O143" s="90"/>
      <c r="P143" s="90">
        <f t="shared" si="3"/>
        <v>0</v>
      </c>
      <c r="Q143" s="93">
        <f t="shared" si="4"/>
        <v>0</v>
      </c>
      <c r="R143" s="94" t="str">
        <f t="shared" si="5"/>
        <v/>
      </c>
      <c r="S143" s="105"/>
      <c r="T143" s="105"/>
      <c r="U143" s="105"/>
    </row>
    <row r="144" ht="15.75" customHeight="1">
      <c r="M144" s="92"/>
      <c r="N144" s="90"/>
      <c r="O144" s="90"/>
      <c r="P144" s="90">
        <f t="shared" si="3"/>
        <v>0</v>
      </c>
      <c r="Q144" s="93">
        <f t="shared" si="4"/>
        <v>0</v>
      </c>
      <c r="R144" s="94" t="str">
        <f t="shared" si="5"/>
        <v/>
      </c>
      <c r="S144" s="105"/>
      <c r="T144" s="105"/>
      <c r="U144" s="105"/>
    </row>
    <row r="145" ht="15.75" customHeight="1">
      <c r="M145" s="92"/>
      <c r="N145" s="90"/>
      <c r="O145" s="90"/>
      <c r="P145" s="90">
        <f t="shared" si="3"/>
        <v>0</v>
      </c>
      <c r="Q145" s="93">
        <f t="shared" si="4"/>
        <v>0</v>
      </c>
      <c r="R145" s="94" t="str">
        <f t="shared" si="5"/>
        <v/>
      </c>
      <c r="S145" s="105"/>
      <c r="T145" s="105"/>
      <c r="U145" s="105"/>
    </row>
    <row r="146" ht="15.75" customHeight="1">
      <c r="M146" s="92"/>
      <c r="N146" s="90"/>
      <c r="O146" s="90"/>
      <c r="P146" s="90">
        <f t="shared" si="3"/>
        <v>0</v>
      </c>
      <c r="Q146" s="93">
        <f t="shared" si="4"/>
        <v>0</v>
      </c>
      <c r="R146" s="94" t="str">
        <f t="shared" si="5"/>
        <v/>
      </c>
      <c r="S146" s="105"/>
      <c r="T146" s="105"/>
      <c r="U146" s="105"/>
    </row>
    <row r="147" ht="15.75" customHeight="1">
      <c r="N147" s="90"/>
      <c r="O147" s="90"/>
      <c r="P147" s="90">
        <f t="shared" si="3"/>
        <v>0</v>
      </c>
      <c r="Q147" s="93">
        <f t="shared" si="4"/>
        <v>0</v>
      </c>
      <c r="R147" s="94" t="str">
        <f t="shared" si="5"/>
        <v/>
      </c>
      <c r="S147" s="105"/>
      <c r="T147" s="105"/>
      <c r="U147" s="105"/>
    </row>
    <row r="148" ht="15.75" customHeight="1">
      <c r="N148" s="90"/>
      <c r="O148" s="90"/>
      <c r="P148" s="90">
        <f t="shared" si="3"/>
        <v>0</v>
      </c>
      <c r="Q148" s="93">
        <f t="shared" si="4"/>
        <v>0</v>
      </c>
      <c r="R148" s="94" t="str">
        <f t="shared" si="5"/>
        <v/>
      </c>
      <c r="S148" s="105"/>
      <c r="T148" s="105"/>
      <c r="U148" s="105"/>
    </row>
    <row r="149" ht="15.75" customHeight="1">
      <c r="N149" s="90"/>
      <c r="O149" s="90"/>
      <c r="P149" s="90">
        <f t="shared" si="3"/>
        <v>0</v>
      </c>
      <c r="Q149" s="93">
        <f t="shared" si="4"/>
        <v>0</v>
      </c>
      <c r="R149" s="94" t="str">
        <f t="shared" si="5"/>
        <v/>
      </c>
      <c r="S149" s="105"/>
      <c r="T149" s="105"/>
      <c r="U149" s="105"/>
    </row>
    <row r="150" ht="15.75" customHeight="1">
      <c r="N150" s="90"/>
      <c r="O150" s="90"/>
      <c r="P150" s="90">
        <f t="shared" si="3"/>
        <v>0</v>
      </c>
      <c r="Q150" s="93">
        <f t="shared" si="4"/>
        <v>0</v>
      </c>
      <c r="R150" s="94" t="str">
        <f t="shared" si="5"/>
        <v/>
      </c>
      <c r="S150" s="105"/>
      <c r="T150" s="105"/>
      <c r="U150" s="105"/>
    </row>
    <row r="151" ht="15.75" customHeight="1">
      <c r="N151" s="90"/>
      <c r="O151" s="90"/>
      <c r="P151" s="90">
        <f t="shared" si="3"/>
        <v>0</v>
      </c>
      <c r="Q151" s="93">
        <f t="shared" si="4"/>
        <v>0</v>
      </c>
      <c r="R151" s="94" t="str">
        <f t="shared" si="5"/>
        <v/>
      </c>
      <c r="S151" s="105"/>
      <c r="T151" s="105"/>
      <c r="U151" s="105"/>
    </row>
    <row r="152" ht="15.75" customHeight="1">
      <c r="N152" s="90"/>
      <c r="O152" s="90"/>
      <c r="P152" s="90">
        <f t="shared" si="3"/>
        <v>0</v>
      </c>
      <c r="Q152" s="93">
        <f t="shared" si="4"/>
        <v>0</v>
      </c>
      <c r="R152" s="94" t="str">
        <f t="shared" si="5"/>
        <v/>
      </c>
      <c r="S152" s="105"/>
      <c r="T152" s="105"/>
      <c r="U152" s="105"/>
    </row>
    <row r="153" ht="15.75" customHeight="1">
      <c r="N153" s="90"/>
      <c r="O153" s="90"/>
      <c r="P153" s="90">
        <f t="shared" si="3"/>
        <v>0</v>
      </c>
      <c r="Q153" s="93">
        <f t="shared" si="4"/>
        <v>0</v>
      </c>
      <c r="R153" s="94" t="str">
        <f t="shared" si="5"/>
        <v/>
      </c>
      <c r="S153" s="105"/>
      <c r="T153" s="105"/>
      <c r="U153" s="105"/>
    </row>
    <row r="154" ht="15.75" customHeight="1">
      <c r="N154" s="90"/>
      <c r="O154" s="90"/>
      <c r="P154" s="90">
        <f t="shared" si="3"/>
        <v>0</v>
      </c>
      <c r="Q154" s="93">
        <f t="shared" si="4"/>
        <v>0</v>
      </c>
      <c r="R154" s="94" t="str">
        <f t="shared" si="5"/>
        <v/>
      </c>
      <c r="S154" s="105"/>
      <c r="T154" s="105"/>
      <c r="U154" s="105"/>
    </row>
    <row r="155" ht="15.75" customHeight="1">
      <c r="N155" s="90"/>
      <c r="O155" s="90"/>
      <c r="P155" s="90">
        <f t="shared" si="3"/>
        <v>0</v>
      </c>
      <c r="Q155" s="93">
        <f t="shared" si="4"/>
        <v>0</v>
      </c>
      <c r="R155" s="94" t="str">
        <f t="shared" si="5"/>
        <v/>
      </c>
      <c r="S155" s="105"/>
      <c r="T155" s="105"/>
      <c r="U155" s="105"/>
    </row>
    <row r="156" ht="15.75" customHeight="1">
      <c r="N156" s="90"/>
      <c r="O156" s="90"/>
      <c r="P156" s="90">
        <f t="shared" si="3"/>
        <v>0</v>
      </c>
      <c r="Q156" s="93">
        <f t="shared" si="4"/>
        <v>0</v>
      </c>
      <c r="R156" s="94" t="str">
        <f t="shared" si="5"/>
        <v/>
      </c>
      <c r="S156" s="105"/>
      <c r="T156" s="105"/>
      <c r="U156" s="105"/>
    </row>
    <row r="157" ht="15.75" customHeight="1">
      <c r="N157" s="90"/>
      <c r="O157" s="90"/>
      <c r="P157" s="90">
        <f t="shared" si="3"/>
        <v>0</v>
      </c>
      <c r="Q157" s="93">
        <f t="shared" si="4"/>
        <v>0</v>
      </c>
      <c r="R157" s="94" t="str">
        <f t="shared" si="5"/>
        <v/>
      </c>
      <c r="S157" s="105"/>
      <c r="T157" s="105"/>
      <c r="U157" s="105"/>
    </row>
    <row r="158" ht="15.75" customHeight="1">
      <c r="Q158" s="105"/>
      <c r="R158" s="105"/>
      <c r="S158" s="105"/>
      <c r="T158" s="105"/>
      <c r="U158" s="105"/>
    </row>
    <row r="159" ht="15.75" customHeight="1">
      <c r="Q159" s="105"/>
      <c r="R159" s="105"/>
      <c r="S159" s="105"/>
      <c r="T159" s="105"/>
      <c r="U159" s="105"/>
    </row>
    <row r="160" ht="15.75" customHeight="1">
      <c r="Q160" s="105"/>
      <c r="R160" s="105"/>
      <c r="S160" s="105"/>
      <c r="T160" s="105"/>
      <c r="U160" s="105"/>
    </row>
    <row r="161" ht="15.75" customHeight="1">
      <c r="Q161" s="105"/>
      <c r="R161" s="105"/>
      <c r="S161" s="105"/>
      <c r="T161" s="105"/>
      <c r="U161" s="105"/>
    </row>
    <row r="162" ht="15.75" customHeight="1">
      <c r="Q162" s="105"/>
      <c r="R162" s="105"/>
      <c r="S162" s="105"/>
      <c r="T162" s="105"/>
      <c r="U162" s="105"/>
    </row>
    <row r="163" ht="15.75" customHeight="1">
      <c r="Q163" s="105"/>
      <c r="R163" s="105"/>
      <c r="S163" s="105"/>
      <c r="T163" s="105"/>
      <c r="U163" s="105"/>
    </row>
    <row r="164" ht="15.75" customHeight="1">
      <c r="Q164" s="105"/>
      <c r="R164" s="105"/>
      <c r="S164" s="105"/>
      <c r="T164" s="105"/>
      <c r="U164" s="105"/>
    </row>
    <row r="165" ht="15.75" customHeight="1">
      <c r="Q165" s="105"/>
      <c r="R165" s="105"/>
      <c r="S165" s="105"/>
      <c r="T165" s="105"/>
      <c r="U165" s="105"/>
    </row>
    <row r="166" ht="15.75" customHeight="1">
      <c r="Q166" s="105"/>
      <c r="R166" s="105"/>
      <c r="S166" s="105"/>
      <c r="T166" s="105"/>
      <c r="U166" s="105"/>
    </row>
    <row r="167" ht="15.75" customHeight="1">
      <c r="Q167" s="105"/>
      <c r="R167" s="105"/>
      <c r="S167" s="105"/>
      <c r="T167" s="105"/>
      <c r="U167" s="105"/>
    </row>
    <row r="168" ht="15.75" customHeight="1">
      <c r="Q168" s="105"/>
      <c r="R168" s="105"/>
      <c r="S168" s="105"/>
      <c r="T168" s="105"/>
      <c r="U168" s="105"/>
    </row>
    <row r="169" ht="15.75" customHeight="1">
      <c r="Q169" s="105"/>
      <c r="R169" s="105"/>
      <c r="S169" s="105"/>
      <c r="T169" s="105"/>
      <c r="U169" s="105"/>
    </row>
    <row r="170" ht="15.75" customHeight="1">
      <c r="Q170" s="105"/>
      <c r="R170" s="105"/>
      <c r="S170" s="105"/>
      <c r="T170" s="105"/>
      <c r="U170" s="105"/>
    </row>
    <row r="171" ht="15.75" customHeight="1">
      <c r="Q171" s="105"/>
      <c r="R171" s="105"/>
      <c r="S171" s="105"/>
      <c r="T171" s="105"/>
      <c r="U171" s="105"/>
    </row>
    <row r="172" ht="15.75" customHeight="1">
      <c r="Q172" s="105"/>
      <c r="R172" s="105"/>
      <c r="S172" s="105"/>
      <c r="T172" s="105"/>
      <c r="U172" s="105"/>
    </row>
    <row r="173" ht="15.75" customHeight="1">
      <c r="Q173" s="105"/>
      <c r="R173" s="105"/>
      <c r="S173" s="105"/>
      <c r="T173" s="105"/>
      <c r="U173" s="105"/>
    </row>
    <row r="174" ht="15.75" customHeight="1">
      <c r="Q174" s="105"/>
      <c r="R174" s="105"/>
      <c r="S174" s="105"/>
      <c r="T174" s="105"/>
      <c r="U174" s="105"/>
    </row>
    <row r="175" ht="15.75" customHeight="1">
      <c r="Q175" s="105"/>
      <c r="R175" s="105"/>
      <c r="S175" s="105"/>
      <c r="T175" s="105"/>
      <c r="U175" s="105"/>
    </row>
    <row r="176" ht="15.75" customHeight="1">
      <c r="Q176" s="105"/>
      <c r="R176" s="105"/>
      <c r="S176" s="105"/>
      <c r="T176" s="105"/>
      <c r="U176" s="105"/>
    </row>
    <row r="177" ht="15.75" customHeight="1">
      <c r="Q177" s="105"/>
      <c r="R177" s="105"/>
      <c r="S177" s="105"/>
      <c r="T177" s="105"/>
      <c r="U177" s="105"/>
    </row>
    <row r="178" ht="15.75" customHeight="1">
      <c r="Q178" s="105"/>
      <c r="R178" s="105"/>
      <c r="S178" s="105"/>
      <c r="T178" s="105"/>
      <c r="U178" s="105"/>
    </row>
    <row r="179" ht="15.75" customHeight="1">
      <c r="Q179" s="105"/>
      <c r="R179" s="105"/>
      <c r="S179" s="105"/>
      <c r="T179" s="105"/>
      <c r="U179" s="105"/>
    </row>
    <row r="180" ht="15.75" customHeight="1">
      <c r="Q180" s="105"/>
      <c r="R180" s="105"/>
      <c r="S180" s="105"/>
      <c r="T180" s="105"/>
      <c r="U180" s="105"/>
    </row>
    <row r="181" ht="15.75" customHeight="1">
      <c r="Q181" s="105"/>
      <c r="R181" s="105"/>
      <c r="S181" s="105"/>
      <c r="T181" s="105"/>
      <c r="U181" s="105"/>
    </row>
    <row r="182" ht="15.75" customHeight="1">
      <c r="Q182" s="105"/>
      <c r="R182" s="105"/>
      <c r="S182" s="105"/>
      <c r="T182" s="105"/>
      <c r="U182" s="105"/>
    </row>
    <row r="183" ht="15.75" customHeight="1">
      <c r="Q183" s="105"/>
      <c r="R183" s="105"/>
      <c r="S183" s="105"/>
      <c r="T183" s="105"/>
      <c r="U183" s="105"/>
    </row>
    <row r="184" ht="15.75" customHeight="1">
      <c r="Q184" s="105"/>
      <c r="R184" s="105"/>
      <c r="S184" s="105"/>
      <c r="T184" s="105"/>
      <c r="U184" s="105"/>
    </row>
    <row r="185" ht="15.75" customHeight="1">
      <c r="Q185" s="105"/>
      <c r="R185" s="105"/>
      <c r="S185" s="105"/>
      <c r="T185" s="105"/>
      <c r="U185" s="105"/>
    </row>
    <row r="186" ht="15.75" customHeight="1">
      <c r="Q186" s="105"/>
      <c r="R186" s="105"/>
      <c r="S186" s="105"/>
      <c r="T186" s="105"/>
      <c r="U186" s="105"/>
    </row>
    <row r="187" ht="15.75" customHeight="1">
      <c r="Q187" s="105"/>
      <c r="R187" s="105"/>
      <c r="S187" s="105"/>
      <c r="T187" s="105"/>
      <c r="U187" s="105"/>
    </row>
    <row r="188" ht="15.75" customHeight="1">
      <c r="Q188" s="105"/>
      <c r="R188" s="105"/>
      <c r="S188" s="105"/>
      <c r="T188" s="105"/>
      <c r="U188" s="105"/>
    </row>
    <row r="189" ht="15.75" customHeight="1">
      <c r="Q189" s="105"/>
      <c r="R189" s="105"/>
      <c r="S189" s="105"/>
      <c r="T189" s="105"/>
      <c r="U189" s="105"/>
    </row>
    <row r="190" ht="15.75" customHeight="1">
      <c r="Q190" s="105"/>
      <c r="R190" s="105"/>
      <c r="S190" s="105"/>
      <c r="T190" s="105"/>
      <c r="U190" s="105"/>
    </row>
    <row r="191" ht="15.75" customHeight="1">
      <c r="Q191" s="105"/>
      <c r="R191" s="105"/>
      <c r="S191" s="105"/>
      <c r="T191" s="105"/>
      <c r="U191" s="105"/>
    </row>
    <row r="192" ht="15.75" customHeight="1">
      <c r="Q192" s="105"/>
      <c r="R192" s="105"/>
      <c r="S192" s="105"/>
      <c r="T192" s="105"/>
      <c r="U192" s="105"/>
    </row>
    <row r="193" ht="15.75" customHeight="1">
      <c r="Q193" s="105"/>
      <c r="R193" s="105"/>
      <c r="S193" s="105"/>
      <c r="T193" s="105"/>
      <c r="U193" s="105"/>
    </row>
    <row r="194" ht="15.75" customHeight="1">
      <c r="Q194" s="105"/>
      <c r="R194" s="105"/>
      <c r="S194" s="105"/>
      <c r="T194" s="105"/>
      <c r="U194" s="105"/>
    </row>
    <row r="195" ht="15.75" customHeight="1">
      <c r="Q195" s="105"/>
      <c r="R195" s="105"/>
      <c r="S195" s="105"/>
      <c r="T195" s="105"/>
      <c r="U195" s="105"/>
    </row>
    <row r="196" ht="15.75" customHeight="1">
      <c r="Q196" s="105"/>
      <c r="R196" s="105"/>
      <c r="S196" s="105"/>
      <c r="T196" s="105"/>
      <c r="U196" s="105"/>
    </row>
    <row r="197" ht="15.75" customHeight="1">
      <c r="Q197" s="105"/>
      <c r="R197" s="105"/>
      <c r="S197" s="105"/>
      <c r="T197" s="105"/>
      <c r="U197" s="105"/>
    </row>
    <row r="198" ht="15.75" customHeight="1">
      <c r="Q198" s="105"/>
      <c r="R198" s="105"/>
      <c r="S198" s="105"/>
      <c r="T198" s="105"/>
      <c r="U198" s="105"/>
    </row>
    <row r="199" ht="15.75" customHeight="1">
      <c r="Q199" s="105"/>
      <c r="R199" s="105"/>
      <c r="S199" s="105"/>
      <c r="T199" s="105"/>
      <c r="U199" s="105"/>
    </row>
    <row r="200" ht="15.75" customHeight="1">
      <c r="Q200" s="105"/>
      <c r="R200" s="105"/>
      <c r="S200" s="105"/>
      <c r="T200" s="105"/>
      <c r="U200" s="105"/>
    </row>
    <row r="201" ht="15.75" customHeight="1">
      <c r="Q201" s="105"/>
      <c r="R201" s="105"/>
      <c r="S201" s="105"/>
      <c r="T201" s="105"/>
      <c r="U201" s="105"/>
    </row>
    <row r="202" ht="15.75" customHeight="1">
      <c r="Q202" s="105"/>
      <c r="R202" s="105"/>
      <c r="S202" s="105"/>
      <c r="T202" s="105"/>
      <c r="U202" s="105"/>
    </row>
    <row r="203" ht="15.75" customHeight="1">
      <c r="Q203" s="105"/>
      <c r="R203" s="105"/>
      <c r="S203" s="105"/>
      <c r="T203" s="105"/>
      <c r="U203" s="105"/>
    </row>
    <row r="204" ht="15.75" customHeight="1">
      <c r="Q204" s="105"/>
      <c r="R204" s="105"/>
      <c r="S204" s="105"/>
      <c r="T204" s="105"/>
      <c r="U204" s="105"/>
    </row>
    <row r="205" ht="15.75" customHeight="1">
      <c r="Q205" s="105"/>
      <c r="R205" s="105"/>
      <c r="S205" s="105"/>
      <c r="T205" s="105"/>
      <c r="U205" s="105"/>
    </row>
    <row r="206" ht="15.75" customHeight="1">
      <c r="Q206" s="105"/>
      <c r="R206" s="105"/>
      <c r="S206" s="105"/>
      <c r="T206" s="105"/>
      <c r="U206" s="105"/>
    </row>
    <row r="207" ht="15.75" customHeight="1">
      <c r="Q207" s="105"/>
      <c r="R207" s="105"/>
      <c r="S207" s="105"/>
      <c r="T207" s="105"/>
      <c r="U207" s="105"/>
    </row>
    <row r="208" ht="15.75" customHeight="1">
      <c r="Q208" s="105"/>
      <c r="R208" s="105"/>
      <c r="S208" s="105"/>
      <c r="T208" s="105"/>
      <c r="U208" s="105"/>
    </row>
    <row r="209" ht="15.75" customHeight="1">
      <c r="Q209" s="105"/>
      <c r="R209" s="105"/>
      <c r="S209" s="105"/>
      <c r="T209" s="105"/>
      <c r="U209" s="105"/>
    </row>
    <row r="210" ht="15.75" customHeight="1">
      <c r="Q210" s="105"/>
      <c r="R210" s="105"/>
      <c r="S210" s="105"/>
      <c r="T210" s="105"/>
      <c r="U210" s="105"/>
    </row>
    <row r="211" ht="15.75" customHeight="1">
      <c r="Q211" s="105"/>
      <c r="R211" s="105"/>
      <c r="S211" s="105"/>
      <c r="T211" s="105"/>
      <c r="U211" s="105"/>
    </row>
    <row r="212" ht="15.75" customHeight="1">
      <c r="Q212" s="105"/>
      <c r="R212" s="105"/>
      <c r="S212" s="105"/>
      <c r="T212" s="105"/>
      <c r="U212" s="105"/>
    </row>
    <row r="213" ht="15.75" customHeight="1">
      <c r="Q213" s="105"/>
      <c r="R213" s="105"/>
      <c r="S213" s="105"/>
      <c r="T213" s="105"/>
      <c r="U213" s="105"/>
    </row>
    <row r="214" ht="15.75" customHeight="1">
      <c r="Q214" s="105"/>
      <c r="R214" s="105"/>
      <c r="S214" s="105"/>
      <c r="T214" s="105"/>
      <c r="U214" s="105"/>
    </row>
    <row r="215" ht="15.75" customHeight="1">
      <c r="Q215" s="105"/>
      <c r="R215" s="105"/>
      <c r="S215" s="105"/>
      <c r="T215" s="105"/>
      <c r="U215" s="105"/>
    </row>
    <row r="216" ht="15.75" customHeight="1">
      <c r="Q216" s="105"/>
      <c r="R216" s="105"/>
      <c r="S216" s="105"/>
      <c r="T216" s="105"/>
      <c r="U216" s="105"/>
    </row>
    <row r="217" ht="15.75" customHeight="1">
      <c r="Q217" s="105"/>
      <c r="R217" s="105"/>
      <c r="S217" s="105"/>
      <c r="T217" s="105"/>
      <c r="U217" s="105"/>
    </row>
    <row r="218" ht="15.75" customHeight="1">
      <c r="Q218" s="105"/>
      <c r="R218" s="105"/>
      <c r="S218" s="105"/>
      <c r="T218" s="105"/>
      <c r="U218" s="105"/>
    </row>
    <row r="219" ht="15.75" customHeight="1">
      <c r="Q219" s="105"/>
      <c r="R219" s="105"/>
      <c r="S219" s="105"/>
      <c r="T219" s="105"/>
      <c r="U219" s="105"/>
    </row>
    <row r="220" ht="15.75" customHeight="1">
      <c r="Q220" s="105"/>
      <c r="R220" s="105"/>
      <c r="S220" s="105"/>
      <c r="T220" s="105"/>
      <c r="U220" s="105"/>
    </row>
    <row r="221" ht="15.75" customHeight="1">
      <c r="Q221" s="105"/>
      <c r="R221" s="105"/>
      <c r="S221" s="105"/>
      <c r="T221" s="105"/>
      <c r="U221" s="105"/>
    </row>
    <row r="222" ht="15.75" customHeight="1">
      <c r="Q222" s="105"/>
      <c r="R222" s="105"/>
      <c r="S222" s="105"/>
      <c r="T222" s="105"/>
      <c r="U222" s="105"/>
    </row>
    <row r="223" ht="15.75" customHeight="1">
      <c r="Q223" s="105"/>
      <c r="R223" s="105"/>
      <c r="S223" s="105"/>
      <c r="T223" s="105"/>
      <c r="U223" s="105"/>
    </row>
    <row r="224" ht="15.75" customHeight="1">
      <c r="Q224" s="105"/>
      <c r="R224" s="105"/>
      <c r="S224" s="105"/>
      <c r="T224" s="105"/>
      <c r="U224" s="105"/>
    </row>
    <row r="225" ht="15.75" customHeight="1">
      <c r="Q225" s="105"/>
      <c r="R225" s="105"/>
      <c r="S225" s="105"/>
      <c r="T225" s="105"/>
      <c r="U225" s="105"/>
    </row>
    <row r="226" ht="15.75" customHeight="1">
      <c r="Q226" s="105"/>
      <c r="R226" s="105"/>
      <c r="S226" s="105"/>
      <c r="T226" s="105"/>
      <c r="U226" s="105"/>
    </row>
    <row r="227" ht="15.75" customHeight="1">
      <c r="Q227" s="105"/>
      <c r="R227" s="105"/>
      <c r="S227" s="105"/>
      <c r="T227" s="105"/>
      <c r="U227" s="105"/>
    </row>
    <row r="228" ht="15.75" customHeight="1">
      <c r="Q228" s="105"/>
      <c r="R228" s="105"/>
      <c r="S228" s="105"/>
      <c r="T228" s="105"/>
      <c r="U228" s="105"/>
    </row>
    <row r="229" ht="15.75" customHeight="1">
      <c r="Q229" s="105"/>
      <c r="R229" s="105"/>
      <c r="S229" s="105"/>
      <c r="T229" s="105"/>
      <c r="U229" s="105"/>
    </row>
    <row r="230" ht="15.75" customHeight="1">
      <c r="Q230" s="105"/>
      <c r="R230" s="105"/>
      <c r="S230" s="105"/>
      <c r="T230" s="105"/>
      <c r="U230" s="105"/>
    </row>
    <row r="231" ht="15.75" customHeight="1">
      <c r="Q231" s="105"/>
      <c r="R231" s="105"/>
      <c r="S231" s="105"/>
      <c r="T231" s="105"/>
      <c r="U231" s="105"/>
    </row>
    <row r="232" ht="15.75" customHeight="1">
      <c r="Q232" s="105"/>
      <c r="R232" s="105"/>
      <c r="S232" s="105"/>
      <c r="T232" s="105"/>
      <c r="U232" s="105"/>
    </row>
    <row r="233" ht="15.75" customHeight="1">
      <c r="Q233" s="105"/>
      <c r="R233" s="105"/>
      <c r="S233" s="105"/>
      <c r="T233" s="105"/>
      <c r="U233" s="105"/>
    </row>
    <row r="234" ht="15.75" customHeight="1">
      <c r="Q234" s="105"/>
      <c r="R234" s="105"/>
      <c r="S234" s="105"/>
      <c r="T234" s="105"/>
      <c r="U234" s="105"/>
    </row>
    <row r="235" ht="15.75" customHeight="1">
      <c r="Q235" s="105"/>
      <c r="R235" s="105"/>
      <c r="S235" s="105"/>
      <c r="T235" s="105"/>
      <c r="U235" s="105"/>
    </row>
    <row r="236" ht="15.75" customHeight="1">
      <c r="Q236" s="105"/>
      <c r="R236" s="105"/>
      <c r="S236" s="105"/>
      <c r="T236" s="105"/>
      <c r="U236" s="105"/>
    </row>
    <row r="237" ht="15.75" customHeight="1">
      <c r="Q237" s="105"/>
      <c r="R237" s="105"/>
      <c r="S237" s="105"/>
      <c r="T237" s="105"/>
      <c r="U237" s="105"/>
    </row>
    <row r="238" ht="15.75" customHeight="1">
      <c r="Q238" s="105"/>
      <c r="R238" s="105"/>
      <c r="S238" s="105"/>
      <c r="T238" s="105"/>
      <c r="U238" s="105"/>
    </row>
    <row r="239" ht="15.75" customHeight="1">
      <c r="Q239" s="105"/>
      <c r="R239" s="105"/>
      <c r="S239" s="105"/>
      <c r="T239" s="105"/>
      <c r="U239" s="105"/>
    </row>
    <row r="240" ht="15.75" customHeight="1">
      <c r="Q240" s="105"/>
      <c r="R240" s="105"/>
      <c r="S240" s="105"/>
      <c r="T240" s="105"/>
      <c r="U240" s="105"/>
    </row>
    <row r="241" ht="15.75" customHeight="1">
      <c r="Q241" s="105"/>
      <c r="R241" s="105"/>
      <c r="S241" s="105"/>
      <c r="T241" s="105"/>
      <c r="U241" s="105"/>
    </row>
    <row r="242" ht="15.75" customHeight="1">
      <c r="Q242" s="105"/>
      <c r="R242" s="105"/>
      <c r="S242" s="105"/>
      <c r="T242" s="105"/>
      <c r="U242" s="105"/>
    </row>
    <row r="243" ht="15.75" customHeight="1">
      <c r="Q243" s="105"/>
      <c r="R243" s="105"/>
      <c r="S243" s="105"/>
      <c r="T243" s="105"/>
      <c r="U243" s="105"/>
    </row>
    <row r="244" ht="15.75" customHeight="1">
      <c r="Q244" s="105"/>
      <c r="R244" s="105"/>
      <c r="S244" s="105"/>
      <c r="T244" s="105"/>
      <c r="U244" s="105"/>
    </row>
    <row r="245" ht="15.75" customHeight="1">
      <c r="Q245" s="105"/>
      <c r="R245" s="105"/>
      <c r="S245" s="105"/>
      <c r="T245" s="105"/>
      <c r="U245" s="105"/>
    </row>
    <row r="246" ht="15.75" customHeight="1">
      <c r="Q246" s="105"/>
      <c r="R246" s="105"/>
      <c r="S246" s="105"/>
      <c r="T246" s="105"/>
      <c r="U246" s="105"/>
    </row>
    <row r="247" ht="15.75" customHeight="1">
      <c r="Q247" s="105"/>
      <c r="R247" s="105"/>
      <c r="S247" s="105"/>
      <c r="T247" s="105"/>
      <c r="U247" s="105"/>
    </row>
    <row r="248" ht="15.75" customHeight="1">
      <c r="Q248" s="105"/>
      <c r="R248" s="105"/>
      <c r="S248" s="105"/>
      <c r="T248" s="105"/>
      <c r="U248" s="105"/>
    </row>
    <row r="249" ht="15.75" customHeight="1">
      <c r="Q249" s="105"/>
      <c r="R249" s="105"/>
      <c r="S249" s="105"/>
      <c r="T249" s="105"/>
      <c r="U249" s="105"/>
    </row>
    <row r="250" ht="15.75" customHeight="1">
      <c r="Q250" s="105"/>
      <c r="R250" s="105"/>
      <c r="S250" s="105"/>
      <c r="T250" s="105"/>
      <c r="U250" s="105"/>
    </row>
    <row r="251" ht="15.75" customHeight="1">
      <c r="Q251" s="105"/>
      <c r="R251" s="105"/>
      <c r="S251" s="105"/>
      <c r="T251" s="105"/>
      <c r="U251" s="105"/>
    </row>
    <row r="252" ht="15.75" customHeight="1">
      <c r="Q252" s="105"/>
      <c r="R252" s="105"/>
      <c r="S252" s="105"/>
      <c r="T252" s="105"/>
      <c r="U252" s="105"/>
    </row>
    <row r="253" ht="15.75" customHeight="1">
      <c r="Q253" s="105"/>
      <c r="R253" s="105"/>
      <c r="S253" s="105"/>
      <c r="T253" s="105"/>
      <c r="U253" s="105"/>
    </row>
    <row r="254" ht="15.75" customHeight="1">
      <c r="Q254" s="105"/>
      <c r="R254" s="105"/>
      <c r="S254" s="105"/>
      <c r="T254" s="105"/>
      <c r="U254" s="105"/>
    </row>
    <row r="255" ht="15.75" customHeight="1">
      <c r="Q255" s="105"/>
      <c r="R255" s="105"/>
      <c r="S255" s="105"/>
      <c r="T255" s="105"/>
      <c r="U255" s="105"/>
    </row>
    <row r="256" ht="15.75" customHeight="1">
      <c r="Q256" s="105"/>
      <c r="R256" s="105"/>
      <c r="S256" s="105"/>
      <c r="T256" s="105"/>
      <c r="U256" s="105"/>
    </row>
    <row r="257" ht="15.75" customHeight="1">
      <c r="Q257" s="105"/>
      <c r="R257" s="105"/>
      <c r="S257" s="105"/>
      <c r="T257" s="105"/>
      <c r="U257" s="105"/>
    </row>
    <row r="258" ht="15.75" customHeight="1">
      <c r="Q258" s="105"/>
      <c r="R258" s="105"/>
      <c r="S258" s="105"/>
      <c r="T258" s="105"/>
      <c r="U258" s="105"/>
    </row>
    <row r="259" ht="15.75" customHeight="1">
      <c r="Q259" s="105"/>
      <c r="R259" s="105"/>
      <c r="S259" s="105"/>
      <c r="T259" s="105"/>
      <c r="U259" s="105"/>
    </row>
    <row r="260" ht="15.75" customHeight="1">
      <c r="Q260" s="105"/>
      <c r="R260" s="105"/>
      <c r="S260" s="105"/>
      <c r="T260" s="105"/>
      <c r="U260" s="105"/>
    </row>
    <row r="261" ht="15.75" customHeight="1">
      <c r="Q261" s="105"/>
      <c r="R261" s="105"/>
      <c r="S261" s="105"/>
      <c r="T261" s="105"/>
      <c r="U261" s="105"/>
    </row>
    <row r="262" ht="15.75" customHeight="1">
      <c r="Q262" s="105"/>
      <c r="R262" s="105"/>
      <c r="S262" s="105"/>
      <c r="T262" s="105"/>
      <c r="U262" s="105"/>
    </row>
    <row r="263" ht="15.75" customHeight="1">
      <c r="Q263" s="105"/>
      <c r="R263" s="105"/>
      <c r="S263" s="105"/>
      <c r="T263" s="105"/>
      <c r="U263" s="105"/>
    </row>
    <row r="264" ht="15.75" customHeight="1">
      <c r="Q264" s="105"/>
      <c r="R264" s="105"/>
      <c r="S264" s="105"/>
      <c r="T264" s="105"/>
      <c r="U264" s="105"/>
    </row>
    <row r="265" ht="15.75" customHeight="1">
      <c r="Q265" s="105"/>
      <c r="R265" s="105"/>
      <c r="S265" s="105"/>
      <c r="T265" s="105"/>
      <c r="U265" s="105"/>
    </row>
    <row r="266" ht="15.75" customHeight="1">
      <c r="Q266" s="105"/>
      <c r="R266" s="105"/>
      <c r="S266" s="105"/>
      <c r="T266" s="105"/>
      <c r="U266" s="105"/>
    </row>
    <row r="267" ht="15.75" customHeight="1">
      <c r="Q267" s="105"/>
      <c r="R267" s="105"/>
      <c r="S267" s="105"/>
      <c r="T267" s="105"/>
      <c r="U267" s="105"/>
    </row>
    <row r="268" ht="15.75" customHeight="1">
      <c r="Q268" s="105"/>
      <c r="R268" s="105"/>
      <c r="S268" s="105"/>
      <c r="T268" s="105"/>
      <c r="U268" s="105"/>
    </row>
    <row r="269" ht="15.75" customHeight="1">
      <c r="Q269" s="105"/>
      <c r="R269" s="105"/>
      <c r="S269" s="105"/>
      <c r="T269" s="105"/>
      <c r="U269" s="105"/>
    </row>
    <row r="270" ht="15.75" customHeight="1">
      <c r="Q270" s="105"/>
      <c r="R270" s="105"/>
      <c r="S270" s="105"/>
      <c r="T270" s="105"/>
      <c r="U270" s="105"/>
    </row>
    <row r="271" ht="15.75" customHeight="1">
      <c r="Q271" s="105"/>
      <c r="R271" s="105"/>
      <c r="S271" s="105"/>
      <c r="T271" s="105"/>
      <c r="U271" s="105"/>
    </row>
    <row r="272" ht="15.75" customHeight="1">
      <c r="Q272" s="105"/>
      <c r="R272" s="105"/>
      <c r="S272" s="105"/>
      <c r="T272" s="105"/>
      <c r="U272" s="105"/>
    </row>
    <row r="273" ht="15.75" customHeight="1">
      <c r="Q273" s="105"/>
      <c r="R273" s="105"/>
      <c r="S273" s="105"/>
      <c r="T273" s="105"/>
      <c r="U273" s="105"/>
    </row>
    <row r="274" ht="15.75" customHeight="1">
      <c r="Q274" s="105"/>
      <c r="R274" s="105"/>
      <c r="S274" s="105"/>
      <c r="T274" s="105"/>
      <c r="U274" s="105"/>
    </row>
    <row r="275" ht="15.75" customHeight="1">
      <c r="Q275" s="105"/>
      <c r="R275" s="105"/>
      <c r="S275" s="105"/>
      <c r="T275" s="105"/>
      <c r="U275" s="105"/>
    </row>
    <row r="276" ht="15.75" customHeight="1">
      <c r="Q276" s="105"/>
      <c r="R276" s="105"/>
      <c r="S276" s="105"/>
      <c r="T276" s="105"/>
      <c r="U276" s="105"/>
    </row>
    <row r="277" ht="15.75" customHeight="1">
      <c r="Q277" s="105"/>
      <c r="R277" s="105"/>
      <c r="S277" s="105"/>
      <c r="T277" s="105"/>
      <c r="U277" s="105"/>
    </row>
    <row r="278" ht="15.75" customHeight="1">
      <c r="Q278" s="105"/>
      <c r="R278" s="105"/>
      <c r="S278" s="105"/>
      <c r="T278" s="105"/>
      <c r="U278" s="105"/>
    </row>
    <row r="279" ht="15.75" customHeight="1">
      <c r="Q279" s="105"/>
      <c r="R279" s="105"/>
      <c r="S279" s="105"/>
      <c r="T279" s="105"/>
      <c r="U279" s="105"/>
    </row>
    <row r="280" ht="15.75" customHeight="1">
      <c r="Q280" s="105"/>
      <c r="R280" s="105"/>
      <c r="S280" s="105"/>
      <c r="T280" s="105"/>
      <c r="U280" s="105"/>
    </row>
    <row r="281" ht="15.75" customHeight="1">
      <c r="Q281" s="105"/>
      <c r="R281" s="105"/>
      <c r="S281" s="105"/>
      <c r="T281" s="105"/>
      <c r="U281" s="105"/>
    </row>
    <row r="282" ht="15.75" customHeight="1">
      <c r="Q282" s="105"/>
      <c r="R282" s="105"/>
      <c r="S282" s="105"/>
      <c r="T282" s="105"/>
      <c r="U282" s="105"/>
    </row>
    <row r="283" ht="15.75" customHeight="1">
      <c r="Q283" s="105"/>
      <c r="R283" s="105"/>
      <c r="S283" s="105"/>
      <c r="T283" s="105"/>
      <c r="U283" s="105"/>
    </row>
    <row r="284" ht="15.75" customHeight="1">
      <c r="Q284" s="105"/>
      <c r="R284" s="105"/>
      <c r="S284" s="105"/>
      <c r="T284" s="105"/>
      <c r="U284" s="105"/>
    </row>
    <row r="285" ht="15.75" customHeight="1">
      <c r="Q285" s="105"/>
      <c r="R285" s="105"/>
      <c r="S285" s="105"/>
      <c r="T285" s="105"/>
      <c r="U285" s="105"/>
    </row>
    <row r="286" ht="15.75" customHeight="1">
      <c r="Q286" s="105"/>
      <c r="R286" s="105"/>
      <c r="S286" s="105"/>
      <c r="T286" s="105"/>
      <c r="U286" s="105"/>
    </row>
    <row r="287" ht="15.75" customHeight="1">
      <c r="Q287" s="105"/>
      <c r="R287" s="105"/>
      <c r="S287" s="105"/>
      <c r="T287" s="105"/>
      <c r="U287" s="105"/>
    </row>
    <row r="288" ht="15.75" customHeight="1">
      <c r="Q288" s="105"/>
      <c r="R288" s="105"/>
      <c r="S288" s="105"/>
      <c r="T288" s="105"/>
      <c r="U288" s="105"/>
    </row>
    <row r="289" ht="15.75" customHeight="1">
      <c r="Q289" s="105"/>
      <c r="R289" s="105"/>
      <c r="S289" s="105"/>
      <c r="T289" s="105"/>
      <c r="U289" s="105"/>
    </row>
    <row r="290" ht="15.75" customHeight="1">
      <c r="Q290" s="105"/>
      <c r="R290" s="105"/>
      <c r="S290" s="105"/>
      <c r="T290" s="105"/>
      <c r="U290" s="105"/>
    </row>
    <row r="291" ht="15.75" customHeight="1">
      <c r="Q291" s="105"/>
      <c r="R291" s="105"/>
      <c r="S291" s="105"/>
      <c r="T291" s="105"/>
      <c r="U291" s="105"/>
    </row>
    <row r="292" ht="15.75" customHeight="1">
      <c r="Q292" s="105"/>
      <c r="R292" s="105"/>
      <c r="S292" s="105"/>
      <c r="T292" s="105"/>
      <c r="U292" s="105"/>
    </row>
    <row r="293" ht="15.75" customHeight="1">
      <c r="Q293" s="105"/>
      <c r="R293" s="105"/>
      <c r="S293" s="105"/>
      <c r="T293" s="105"/>
      <c r="U293" s="105"/>
    </row>
    <row r="294" ht="15.75" customHeight="1">
      <c r="Q294" s="105"/>
      <c r="R294" s="105"/>
      <c r="S294" s="105"/>
      <c r="T294" s="105"/>
      <c r="U294" s="105"/>
    </row>
    <row r="295" ht="15.75" customHeight="1">
      <c r="Q295" s="105"/>
      <c r="R295" s="105"/>
      <c r="S295" s="105"/>
      <c r="T295" s="105"/>
      <c r="U295" s="105"/>
    </row>
    <row r="296" ht="15.75" customHeight="1">
      <c r="Q296" s="105"/>
      <c r="R296" s="105"/>
      <c r="S296" s="105"/>
      <c r="T296" s="105"/>
      <c r="U296" s="105"/>
    </row>
    <row r="297" ht="15.75" customHeight="1">
      <c r="Q297" s="105"/>
      <c r="R297" s="105"/>
      <c r="S297" s="105"/>
      <c r="T297" s="105"/>
      <c r="U297" s="105"/>
    </row>
    <row r="298" ht="15.75" customHeight="1">
      <c r="Q298" s="105"/>
      <c r="R298" s="105"/>
      <c r="S298" s="105"/>
      <c r="T298" s="105"/>
      <c r="U298" s="105"/>
    </row>
    <row r="299" ht="15.75" customHeight="1">
      <c r="Q299" s="105"/>
      <c r="R299" s="105"/>
      <c r="S299" s="105"/>
      <c r="T299" s="105"/>
      <c r="U299" s="105"/>
    </row>
    <row r="300" ht="15.75" customHeight="1">
      <c r="Q300" s="105"/>
      <c r="R300" s="105"/>
      <c r="S300" s="105"/>
      <c r="T300" s="105"/>
      <c r="U300" s="105"/>
    </row>
    <row r="301" ht="15.75" customHeight="1">
      <c r="Q301" s="105"/>
      <c r="R301" s="105"/>
      <c r="S301" s="105"/>
      <c r="T301" s="105"/>
      <c r="U301" s="105"/>
    </row>
    <row r="302" ht="15.75" customHeight="1">
      <c r="Q302" s="105"/>
      <c r="R302" s="105"/>
      <c r="S302" s="105"/>
      <c r="T302" s="105"/>
      <c r="U302" s="105"/>
    </row>
    <row r="303" ht="15.75" customHeight="1">
      <c r="Q303" s="105"/>
      <c r="R303" s="105"/>
      <c r="S303" s="105"/>
      <c r="T303" s="105"/>
      <c r="U303" s="105"/>
    </row>
    <row r="304" ht="15.75" customHeight="1">
      <c r="Q304" s="105"/>
      <c r="R304" s="105"/>
      <c r="S304" s="105"/>
      <c r="T304" s="105"/>
      <c r="U304" s="105"/>
    </row>
    <row r="305" ht="15.75" customHeight="1">
      <c r="Q305" s="105"/>
      <c r="R305" s="105"/>
      <c r="S305" s="105"/>
      <c r="T305" s="105"/>
      <c r="U305" s="105"/>
    </row>
    <row r="306" ht="15.75" customHeight="1">
      <c r="Q306" s="105"/>
      <c r="R306" s="105"/>
      <c r="S306" s="105"/>
      <c r="T306" s="105"/>
      <c r="U306" s="105"/>
    </row>
    <row r="307" ht="15.75" customHeight="1">
      <c r="Q307" s="105"/>
      <c r="R307" s="105"/>
      <c r="S307" s="105"/>
      <c r="T307" s="105"/>
      <c r="U307" s="105"/>
    </row>
    <row r="308" ht="15.75" customHeight="1">
      <c r="Q308" s="105"/>
      <c r="R308" s="105"/>
      <c r="S308" s="105"/>
      <c r="T308" s="105"/>
      <c r="U308" s="105"/>
    </row>
    <row r="309" ht="15.75" customHeight="1">
      <c r="Q309" s="105"/>
      <c r="R309" s="105"/>
      <c r="S309" s="105"/>
      <c r="T309" s="105"/>
      <c r="U309" s="105"/>
    </row>
    <row r="310" ht="15.75" customHeight="1">
      <c r="Q310" s="105"/>
      <c r="R310" s="105"/>
      <c r="S310" s="105"/>
      <c r="T310" s="105"/>
      <c r="U310" s="105"/>
    </row>
    <row r="311" ht="15.75" customHeight="1">
      <c r="Q311" s="105"/>
      <c r="R311" s="105"/>
      <c r="S311" s="105"/>
      <c r="T311" s="105"/>
      <c r="U311" s="105"/>
    </row>
    <row r="312" ht="15.75" customHeight="1">
      <c r="Q312" s="105"/>
      <c r="R312" s="105"/>
      <c r="S312" s="105"/>
      <c r="T312" s="105"/>
      <c r="U312" s="105"/>
    </row>
    <row r="313" ht="15.75" customHeight="1">
      <c r="Q313" s="105"/>
      <c r="R313" s="105"/>
      <c r="S313" s="105"/>
      <c r="T313" s="105"/>
      <c r="U313" s="105"/>
    </row>
    <row r="314" ht="15.75" customHeight="1">
      <c r="Q314" s="105"/>
      <c r="R314" s="105"/>
      <c r="S314" s="105"/>
      <c r="T314" s="105"/>
      <c r="U314" s="105"/>
    </row>
    <row r="315" ht="15.75" customHeight="1">
      <c r="Q315" s="105"/>
      <c r="R315" s="105"/>
      <c r="S315" s="105"/>
      <c r="T315" s="105"/>
      <c r="U315" s="105"/>
    </row>
    <row r="316" ht="15.75" customHeight="1">
      <c r="Q316" s="105"/>
      <c r="R316" s="105"/>
      <c r="S316" s="105"/>
      <c r="T316" s="105"/>
      <c r="U316" s="105"/>
    </row>
    <row r="317" ht="15.75" customHeight="1">
      <c r="Q317" s="105"/>
      <c r="R317" s="105"/>
      <c r="S317" s="105"/>
      <c r="T317" s="105"/>
      <c r="U317" s="105"/>
    </row>
    <row r="318" ht="15.75" customHeight="1">
      <c r="Q318" s="105"/>
      <c r="R318" s="105"/>
      <c r="S318" s="105"/>
      <c r="T318" s="105"/>
      <c r="U318" s="105"/>
    </row>
    <row r="319" ht="15.75" customHeight="1">
      <c r="Q319" s="105"/>
      <c r="R319" s="105"/>
      <c r="S319" s="105"/>
      <c r="T319" s="105"/>
      <c r="U319" s="105"/>
    </row>
    <row r="320" ht="15.75" customHeight="1">
      <c r="Q320" s="105"/>
      <c r="R320" s="105"/>
      <c r="S320" s="105"/>
      <c r="T320" s="105"/>
      <c r="U320" s="105"/>
    </row>
    <row r="321" ht="15.75" customHeight="1">
      <c r="Q321" s="105"/>
      <c r="R321" s="105"/>
      <c r="S321" s="105"/>
      <c r="T321" s="105"/>
      <c r="U321" s="105"/>
    </row>
    <row r="322" ht="15.75" customHeight="1">
      <c r="Q322" s="105"/>
      <c r="R322" s="105"/>
      <c r="S322" s="105"/>
      <c r="T322" s="105"/>
      <c r="U322" s="105"/>
    </row>
    <row r="323" ht="15.75" customHeight="1">
      <c r="Q323" s="105"/>
      <c r="R323" s="105"/>
      <c r="S323" s="105"/>
      <c r="T323" s="105"/>
      <c r="U323" s="105"/>
    </row>
    <row r="324" ht="15.75" customHeight="1">
      <c r="Q324" s="105"/>
      <c r="R324" s="105"/>
      <c r="S324" s="105"/>
      <c r="T324" s="105"/>
      <c r="U324" s="105"/>
    </row>
    <row r="325" ht="15.75" customHeight="1">
      <c r="Q325" s="105"/>
      <c r="R325" s="105"/>
      <c r="S325" s="105"/>
      <c r="T325" s="105"/>
      <c r="U325" s="105"/>
    </row>
    <row r="326" ht="15.75" customHeight="1">
      <c r="Q326" s="105"/>
      <c r="R326" s="105"/>
      <c r="S326" s="105"/>
      <c r="T326" s="105"/>
      <c r="U326" s="105"/>
    </row>
    <row r="327" ht="15.75" customHeight="1">
      <c r="Q327" s="105"/>
      <c r="R327" s="105"/>
      <c r="S327" s="105"/>
      <c r="T327" s="105"/>
      <c r="U327" s="105"/>
    </row>
    <row r="328" ht="15.75" customHeight="1">
      <c r="Q328" s="105"/>
      <c r="R328" s="105"/>
      <c r="S328" s="105"/>
      <c r="T328" s="105"/>
      <c r="U328" s="105"/>
    </row>
    <row r="329" ht="15.75" customHeight="1">
      <c r="Q329" s="105"/>
      <c r="R329" s="105"/>
      <c r="S329" s="105"/>
      <c r="T329" s="105"/>
      <c r="U329" s="105"/>
    </row>
    <row r="330" ht="15.75" customHeight="1">
      <c r="Q330" s="105"/>
      <c r="R330" s="105"/>
      <c r="S330" s="105"/>
      <c r="T330" s="105"/>
      <c r="U330" s="105"/>
    </row>
    <row r="331" ht="15.75" customHeight="1">
      <c r="Q331" s="105"/>
      <c r="R331" s="105"/>
      <c r="S331" s="105"/>
      <c r="T331" s="105"/>
      <c r="U331" s="105"/>
    </row>
    <row r="332" ht="15.75" customHeight="1">
      <c r="Q332" s="105"/>
      <c r="R332" s="105"/>
      <c r="S332" s="105"/>
      <c r="T332" s="105"/>
      <c r="U332" s="105"/>
    </row>
    <row r="333" ht="15.75" customHeight="1">
      <c r="Q333" s="105"/>
      <c r="R333" s="105"/>
      <c r="S333" s="105"/>
      <c r="T333" s="105"/>
      <c r="U333" s="105"/>
    </row>
    <row r="334" ht="15.75" customHeight="1">
      <c r="Q334" s="105"/>
      <c r="R334" s="105"/>
      <c r="S334" s="105"/>
      <c r="T334" s="105"/>
      <c r="U334" s="105"/>
    </row>
    <row r="335" ht="15.75" customHeight="1">
      <c r="Q335" s="105"/>
      <c r="R335" s="105"/>
      <c r="S335" s="105"/>
      <c r="T335" s="105"/>
      <c r="U335" s="105"/>
    </row>
    <row r="336" ht="15.75" customHeight="1">
      <c r="Q336" s="105"/>
      <c r="R336" s="105"/>
      <c r="S336" s="105"/>
      <c r="T336" s="105"/>
      <c r="U336" s="105"/>
    </row>
    <row r="337" ht="15.75" customHeight="1">
      <c r="Q337" s="105"/>
      <c r="R337" s="105"/>
      <c r="S337" s="105"/>
      <c r="T337" s="105"/>
      <c r="U337" s="105"/>
    </row>
    <row r="338" ht="15.75" customHeight="1">
      <c r="Q338" s="105"/>
      <c r="R338" s="105"/>
      <c r="S338" s="105"/>
      <c r="T338" s="105"/>
      <c r="U338" s="105"/>
    </row>
    <row r="339" ht="15.75" customHeight="1">
      <c r="Q339" s="105"/>
      <c r="R339" s="105"/>
      <c r="S339" s="105"/>
      <c r="T339" s="105"/>
      <c r="U339" s="105"/>
    </row>
    <row r="340" ht="15.75" customHeight="1">
      <c r="Q340" s="105"/>
      <c r="R340" s="105"/>
      <c r="S340" s="105"/>
      <c r="T340" s="105"/>
      <c r="U340" s="105"/>
    </row>
    <row r="341" ht="15.75" customHeight="1">
      <c r="Q341" s="105"/>
      <c r="R341" s="105"/>
      <c r="S341" s="105"/>
      <c r="T341" s="105"/>
      <c r="U341" s="105"/>
    </row>
    <row r="342" ht="15.75" customHeight="1">
      <c r="Q342" s="105"/>
      <c r="R342" s="105"/>
      <c r="S342" s="105"/>
      <c r="T342" s="105"/>
      <c r="U342" s="105"/>
    </row>
    <row r="343" ht="15.75" customHeight="1">
      <c r="Q343" s="105"/>
      <c r="R343" s="105"/>
      <c r="S343" s="105"/>
      <c r="T343" s="105"/>
      <c r="U343" s="105"/>
    </row>
    <row r="344" ht="15.75" customHeight="1">
      <c r="Q344" s="105"/>
      <c r="R344" s="105"/>
      <c r="S344" s="105"/>
      <c r="T344" s="105"/>
      <c r="U344" s="105"/>
    </row>
    <row r="345" ht="15.75" customHeight="1">
      <c r="Q345" s="105"/>
      <c r="R345" s="105"/>
      <c r="S345" s="105"/>
      <c r="T345" s="105"/>
      <c r="U345" s="105"/>
    </row>
    <row r="346" ht="15.75" customHeight="1">
      <c r="Q346" s="105"/>
      <c r="R346" s="105"/>
      <c r="S346" s="105"/>
      <c r="T346" s="105"/>
      <c r="U346" s="105"/>
    </row>
    <row r="347" ht="15.75" customHeight="1">
      <c r="Q347" s="105"/>
      <c r="R347" s="105"/>
      <c r="S347" s="105"/>
      <c r="T347" s="105"/>
      <c r="U347" s="105"/>
    </row>
    <row r="348" ht="15.75" customHeight="1">
      <c r="Q348" s="105"/>
      <c r="R348" s="105"/>
      <c r="S348" s="105"/>
      <c r="T348" s="105"/>
      <c r="U348" s="105"/>
    </row>
    <row r="349" ht="15.75" customHeight="1">
      <c r="Q349" s="105"/>
      <c r="R349" s="105"/>
      <c r="S349" s="105"/>
      <c r="T349" s="105"/>
      <c r="U349" s="105"/>
    </row>
    <row r="350" ht="15.75" customHeight="1">
      <c r="Q350" s="105"/>
      <c r="R350" s="105"/>
      <c r="S350" s="105"/>
      <c r="T350" s="105"/>
      <c r="U350" s="105"/>
    </row>
    <row r="351" ht="15.75" customHeight="1">
      <c r="Q351" s="105"/>
      <c r="R351" s="105"/>
      <c r="S351" s="105"/>
      <c r="T351" s="105"/>
      <c r="U351" s="105"/>
    </row>
    <row r="352" ht="15.75" customHeight="1">
      <c r="Q352" s="105"/>
      <c r="R352" s="105"/>
      <c r="S352" s="105"/>
      <c r="T352" s="105"/>
      <c r="U352" s="105"/>
    </row>
    <row r="353" ht="15.75" customHeight="1">
      <c r="Q353" s="105"/>
      <c r="R353" s="105"/>
      <c r="S353" s="105"/>
      <c r="T353" s="105"/>
      <c r="U353" s="105"/>
    </row>
    <row r="354" ht="15.75" customHeight="1">
      <c r="Q354" s="105"/>
      <c r="R354" s="105"/>
      <c r="S354" s="105"/>
      <c r="T354" s="105"/>
      <c r="U354" s="105"/>
    </row>
    <row r="355" ht="15.75" customHeight="1">
      <c r="Q355" s="105"/>
      <c r="R355" s="105"/>
      <c r="S355" s="105"/>
      <c r="T355" s="105"/>
      <c r="U355" s="105"/>
    </row>
    <row r="356" ht="15.75" customHeight="1">
      <c r="Q356" s="105"/>
      <c r="R356" s="105"/>
      <c r="S356" s="105"/>
      <c r="T356" s="105"/>
      <c r="U356" s="105"/>
    </row>
    <row r="357" ht="15.75" customHeight="1">
      <c r="Q357" s="105"/>
      <c r="R357" s="105"/>
      <c r="S357" s="105"/>
      <c r="T357" s="105"/>
      <c r="U357" s="105"/>
    </row>
    <row r="358" ht="15.75" customHeight="1">
      <c r="Q358" s="105"/>
      <c r="R358" s="105"/>
      <c r="S358" s="105"/>
      <c r="T358" s="105"/>
      <c r="U358" s="105"/>
    </row>
    <row r="359" ht="15.75" customHeight="1">
      <c r="Q359" s="105"/>
      <c r="R359" s="105"/>
      <c r="S359" s="105"/>
      <c r="T359" s="105"/>
      <c r="U359" s="105"/>
    </row>
    <row r="360" ht="15.75" customHeight="1">
      <c r="Q360" s="105"/>
      <c r="R360" s="105"/>
      <c r="S360" s="105"/>
      <c r="T360" s="105"/>
      <c r="U360" s="105"/>
    </row>
    <row r="361" ht="15.75" customHeight="1">
      <c r="Q361" s="105"/>
      <c r="R361" s="105"/>
      <c r="S361" s="105"/>
      <c r="T361" s="105"/>
      <c r="U361" s="105"/>
    </row>
    <row r="362" ht="15.75" customHeight="1">
      <c r="Q362" s="105"/>
      <c r="R362" s="105"/>
      <c r="S362" s="105"/>
      <c r="T362" s="105"/>
      <c r="U362" s="105"/>
    </row>
    <row r="363" ht="15.75" customHeight="1">
      <c r="Q363" s="105"/>
      <c r="R363" s="105"/>
      <c r="S363" s="105"/>
      <c r="T363" s="105"/>
      <c r="U363" s="105"/>
    </row>
    <row r="364" ht="15.75" customHeight="1">
      <c r="Q364" s="105"/>
      <c r="R364" s="105"/>
      <c r="S364" s="105"/>
      <c r="T364" s="105"/>
      <c r="U364" s="105"/>
    </row>
    <row r="365" ht="15.75" customHeight="1">
      <c r="Q365" s="105"/>
      <c r="R365" s="105"/>
      <c r="S365" s="105"/>
      <c r="T365" s="105"/>
      <c r="U365" s="105"/>
    </row>
    <row r="366" ht="15.75" customHeight="1">
      <c r="Q366" s="105"/>
      <c r="R366" s="105"/>
      <c r="S366" s="105"/>
      <c r="T366" s="105"/>
      <c r="U366" s="105"/>
    </row>
    <row r="367" ht="15.75" customHeight="1">
      <c r="Q367" s="105"/>
      <c r="R367" s="105"/>
      <c r="S367" s="105"/>
      <c r="T367" s="105"/>
      <c r="U367" s="105"/>
    </row>
    <row r="368" ht="15.75" customHeight="1">
      <c r="Q368" s="105"/>
      <c r="R368" s="105"/>
      <c r="S368" s="105"/>
      <c r="T368" s="105"/>
      <c r="U368" s="105"/>
    </row>
    <row r="369" ht="15.75" customHeight="1">
      <c r="Q369" s="105"/>
      <c r="R369" s="105"/>
      <c r="S369" s="105"/>
      <c r="T369" s="105"/>
      <c r="U369" s="105"/>
    </row>
    <row r="370" ht="15.75" customHeight="1">
      <c r="Q370" s="105"/>
      <c r="R370" s="105"/>
      <c r="S370" s="105"/>
      <c r="T370" s="105"/>
      <c r="U370" s="105"/>
    </row>
    <row r="371" ht="15.75" customHeight="1">
      <c r="Q371" s="105"/>
      <c r="R371" s="105"/>
      <c r="S371" s="105"/>
      <c r="T371" s="105"/>
      <c r="U371" s="105"/>
    </row>
    <row r="372" ht="15.75" customHeight="1">
      <c r="Q372" s="105"/>
      <c r="R372" s="105"/>
      <c r="S372" s="105"/>
      <c r="T372" s="105"/>
      <c r="U372" s="105"/>
    </row>
    <row r="373" ht="15.75" customHeight="1">
      <c r="Q373" s="105"/>
      <c r="R373" s="105"/>
      <c r="S373" s="105"/>
      <c r="T373" s="105"/>
      <c r="U373" s="105"/>
    </row>
    <row r="374" ht="15.75" customHeight="1">
      <c r="Q374" s="105"/>
      <c r="R374" s="105"/>
      <c r="S374" s="105"/>
      <c r="T374" s="105"/>
      <c r="U374" s="105"/>
    </row>
    <row r="375" ht="15.75" customHeight="1">
      <c r="Q375" s="105"/>
      <c r="R375" s="105"/>
      <c r="S375" s="105"/>
      <c r="T375" s="105"/>
      <c r="U375" s="105"/>
    </row>
    <row r="376" ht="15.75" customHeight="1">
      <c r="Q376" s="105"/>
      <c r="R376" s="105"/>
      <c r="S376" s="105"/>
      <c r="T376" s="105"/>
      <c r="U376" s="105"/>
    </row>
    <row r="377" ht="15.75" customHeight="1">
      <c r="Q377" s="105"/>
      <c r="R377" s="105"/>
      <c r="S377" s="105"/>
      <c r="T377" s="105"/>
      <c r="U377" s="105"/>
    </row>
    <row r="378" ht="15.75" customHeight="1">
      <c r="Q378" s="105"/>
      <c r="R378" s="105"/>
      <c r="S378" s="105"/>
      <c r="T378" s="105"/>
      <c r="U378" s="105"/>
    </row>
    <row r="379" ht="15.75" customHeight="1">
      <c r="Q379" s="105"/>
      <c r="R379" s="105"/>
      <c r="S379" s="105"/>
      <c r="T379" s="105"/>
      <c r="U379" s="105"/>
    </row>
    <row r="380" ht="15.75" customHeight="1">
      <c r="Q380" s="105"/>
      <c r="R380" s="105"/>
      <c r="S380" s="105"/>
      <c r="T380" s="105"/>
      <c r="U380" s="105"/>
    </row>
    <row r="381" ht="15.75" customHeight="1">
      <c r="Q381" s="105"/>
      <c r="R381" s="105"/>
      <c r="S381" s="105"/>
      <c r="T381" s="105"/>
      <c r="U381" s="105"/>
    </row>
    <row r="382" ht="15.75" customHeight="1">
      <c r="Q382" s="105"/>
      <c r="R382" s="105"/>
      <c r="S382" s="105"/>
      <c r="T382" s="105"/>
      <c r="U382" s="105"/>
    </row>
    <row r="383" ht="15.75" customHeight="1">
      <c r="Q383" s="105"/>
      <c r="R383" s="105"/>
      <c r="S383" s="105"/>
      <c r="T383" s="105"/>
      <c r="U383" s="105"/>
    </row>
    <row r="384" ht="15.75" customHeight="1">
      <c r="Q384" s="105"/>
      <c r="R384" s="105"/>
      <c r="S384" s="105"/>
      <c r="T384" s="105"/>
      <c r="U384" s="105"/>
    </row>
    <row r="385" ht="15.75" customHeight="1">
      <c r="Q385" s="105"/>
      <c r="R385" s="105"/>
      <c r="S385" s="105"/>
      <c r="T385" s="105"/>
      <c r="U385" s="105"/>
    </row>
    <row r="386" ht="15.75" customHeight="1">
      <c r="Q386" s="105"/>
      <c r="R386" s="105"/>
      <c r="S386" s="105"/>
      <c r="T386" s="105"/>
      <c r="U386" s="105"/>
    </row>
    <row r="387" ht="15.75" customHeight="1">
      <c r="Q387" s="105"/>
      <c r="R387" s="105"/>
      <c r="S387" s="105"/>
      <c r="T387" s="105"/>
      <c r="U387" s="105"/>
    </row>
    <row r="388" ht="15.75" customHeight="1">
      <c r="Q388" s="105"/>
      <c r="R388" s="105"/>
      <c r="S388" s="105"/>
      <c r="T388" s="105"/>
      <c r="U388" s="105"/>
    </row>
    <row r="389" ht="15.75" customHeight="1">
      <c r="Q389" s="105"/>
      <c r="R389" s="105"/>
      <c r="S389" s="105"/>
      <c r="T389" s="105"/>
      <c r="U389" s="105"/>
    </row>
    <row r="390" ht="15.75" customHeight="1">
      <c r="Q390" s="105"/>
      <c r="R390" s="105"/>
      <c r="S390" s="105"/>
      <c r="T390" s="105"/>
      <c r="U390" s="105"/>
    </row>
    <row r="391" ht="15.75" customHeight="1">
      <c r="Q391" s="105"/>
      <c r="R391" s="105"/>
      <c r="S391" s="105"/>
      <c r="T391" s="105"/>
      <c r="U391" s="105"/>
    </row>
    <row r="392" ht="15.75" customHeight="1">
      <c r="Q392" s="105"/>
      <c r="R392" s="105"/>
      <c r="S392" s="105"/>
      <c r="T392" s="105"/>
      <c r="U392" s="105"/>
    </row>
    <row r="393" ht="15.75" customHeight="1">
      <c r="Q393" s="105"/>
      <c r="R393" s="105"/>
      <c r="S393" s="105"/>
      <c r="T393" s="105"/>
      <c r="U393" s="105"/>
    </row>
    <row r="394" ht="15.75" customHeight="1">
      <c r="Q394" s="105"/>
      <c r="R394" s="105"/>
      <c r="S394" s="105"/>
      <c r="T394" s="105"/>
      <c r="U394" s="105"/>
    </row>
    <row r="395" ht="15.75" customHeight="1">
      <c r="Q395" s="105"/>
      <c r="R395" s="105"/>
      <c r="S395" s="105"/>
      <c r="T395" s="105"/>
      <c r="U395" s="105"/>
    </row>
    <row r="396" ht="15.75" customHeight="1">
      <c r="Q396" s="105"/>
      <c r="R396" s="105"/>
      <c r="S396" s="105"/>
      <c r="T396" s="105"/>
      <c r="U396" s="105"/>
    </row>
    <row r="397" ht="15.75" customHeight="1">
      <c r="Q397" s="105"/>
      <c r="R397" s="105"/>
      <c r="S397" s="105"/>
      <c r="T397" s="105"/>
      <c r="U397" s="105"/>
    </row>
    <row r="398" ht="15.75" customHeight="1">
      <c r="Q398" s="105"/>
      <c r="R398" s="105"/>
      <c r="S398" s="105"/>
      <c r="T398" s="105"/>
      <c r="U398" s="105"/>
    </row>
    <row r="399" ht="15.75" customHeight="1">
      <c r="Q399" s="105"/>
      <c r="R399" s="105"/>
      <c r="S399" s="105"/>
      <c r="T399" s="105"/>
      <c r="U399" s="105"/>
    </row>
    <row r="400" ht="15.75" customHeight="1">
      <c r="Q400" s="105"/>
      <c r="R400" s="105"/>
      <c r="S400" s="105"/>
      <c r="T400" s="105"/>
      <c r="U400" s="105"/>
    </row>
    <row r="401" ht="15.75" customHeight="1">
      <c r="Q401" s="105"/>
      <c r="R401" s="105"/>
      <c r="S401" s="105"/>
      <c r="T401" s="105"/>
      <c r="U401" s="105"/>
    </row>
    <row r="402" ht="15.75" customHeight="1">
      <c r="Q402" s="105"/>
      <c r="R402" s="105"/>
      <c r="S402" s="105"/>
      <c r="T402" s="105"/>
      <c r="U402" s="105"/>
    </row>
    <row r="403" ht="15.75" customHeight="1">
      <c r="Q403" s="105"/>
      <c r="R403" s="105"/>
      <c r="S403" s="105"/>
      <c r="T403" s="105"/>
      <c r="U403" s="105"/>
    </row>
    <row r="404" ht="15.75" customHeight="1">
      <c r="Q404" s="105"/>
      <c r="R404" s="105"/>
      <c r="S404" s="105"/>
      <c r="T404" s="105"/>
      <c r="U404" s="105"/>
    </row>
    <row r="405" ht="15.75" customHeight="1">
      <c r="Q405" s="105"/>
      <c r="R405" s="105"/>
      <c r="S405" s="105"/>
      <c r="T405" s="105"/>
      <c r="U405" s="105"/>
    </row>
    <row r="406" ht="15.75" customHeight="1">
      <c r="Q406" s="105"/>
      <c r="R406" s="105"/>
      <c r="S406" s="105"/>
      <c r="T406" s="105"/>
      <c r="U406" s="105"/>
    </row>
    <row r="407" ht="15.75" customHeight="1">
      <c r="Q407" s="105"/>
      <c r="R407" s="105"/>
      <c r="S407" s="105"/>
      <c r="T407" s="105"/>
      <c r="U407" s="105"/>
    </row>
    <row r="408" ht="15.75" customHeight="1">
      <c r="Q408" s="105"/>
      <c r="R408" s="105"/>
      <c r="S408" s="105"/>
      <c r="T408" s="105"/>
      <c r="U408" s="105"/>
    </row>
    <row r="409" ht="15.75" customHeight="1">
      <c r="Q409" s="105"/>
      <c r="R409" s="105"/>
      <c r="S409" s="105"/>
      <c r="T409" s="105"/>
      <c r="U409" s="105"/>
    </row>
    <row r="410" ht="15.75" customHeight="1">
      <c r="Q410" s="105"/>
      <c r="R410" s="105"/>
      <c r="S410" s="105"/>
      <c r="T410" s="105"/>
      <c r="U410" s="105"/>
    </row>
    <row r="411" ht="15.75" customHeight="1">
      <c r="Q411" s="105"/>
      <c r="R411" s="105"/>
      <c r="S411" s="105"/>
      <c r="T411" s="105"/>
      <c r="U411" s="105"/>
    </row>
    <row r="412" ht="15.75" customHeight="1">
      <c r="Q412" s="105"/>
      <c r="R412" s="105"/>
      <c r="S412" s="105"/>
      <c r="T412" s="105"/>
      <c r="U412" s="105"/>
    </row>
    <row r="413" ht="15.75" customHeight="1">
      <c r="Q413" s="105"/>
      <c r="R413" s="105"/>
      <c r="S413" s="105"/>
      <c r="T413" s="105"/>
      <c r="U413" s="105"/>
    </row>
    <row r="414" ht="15.75" customHeight="1">
      <c r="Q414" s="105"/>
      <c r="R414" s="105"/>
      <c r="S414" s="105"/>
      <c r="T414" s="105"/>
      <c r="U414" s="105"/>
    </row>
    <row r="415" ht="15.75" customHeight="1">
      <c r="Q415" s="105"/>
      <c r="R415" s="105"/>
      <c r="S415" s="105"/>
      <c r="T415" s="105"/>
      <c r="U415" s="105"/>
    </row>
    <row r="416" ht="15.75" customHeight="1">
      <c r="Q416" s="105"/>
      <c r="R416" s="105"/>
      <c r="S416" s="105"/>
      <c r="T416" s="105"/>
      <c r="U416" s="105"/>
    </row>
    <row r="417" ht="15.75" customHeight="1">
      <c r="Q417" s="105"/>
      <c r="R417" s="105"/>
      <c r="S417" s="105"/>
      <c r="T417" s="105"/>
      <c r="U417" s="105"/>
    </row>
    <row r="418" ht="15.75" customHeight="1">
      <c r="Q418" s="105"/>
      <c r="R418" s="105"/>
      <c r="S418" s="105"/>
      <c r="T418" s="105"/>
      <c r="U418" s="105"/>
    </row>
    <row r="419" ht="15.75" customHeight="1">
      <c r="Q419" s="105"/>
      <c r="R419" s="105"/>
      <c r="S419" s="105"/>
      <c r="T419" s="105"/>
      <c r="U419" s="105"/>
    </row>
    <row r="420" ht="15.75" customHeight="1">
      <c r="Q420" s="105"/>
      <c r="R420" s="105"/>
      <c r="S420" s="105"/>
      <c r="T420" s="105"/>
      <c r="U420" s="105"/>
    </row>
    <row r="421" ht="15.75" customHeight="1">
      <c r="Q421" s="105"/>
      <c r="R421" s="105"/>
      <c r="S421" s="105"/>
      <c r="T421" s="105"/>
      <c r="U421" s="105"/>
    </row>
    <row r="422" ht="15.75" customHeight="1">
      <c r="Q422" s="105"/>
      <c r="R422" s="105"/>
      <c r="S422" s="105"/>
      <c r="T422" s="105"/>
      <c r="U422" s="105"/>
    </row>
    <row r="423" ht="15.75" customHeight="1">
      <c r="Q423" s="105"/>
      <c r="R423" s="105"/>
      <c r="S423" s="105"/>
      <c r="T423" s="105"/>
      <c r="U423" s="105"/>
    </row>
    <row r="424" ht="15.75" customHeight="1">
      <c r="Q424" s="105"/>
      <c r="R424" s="105"/>
      <c r="S424" s="105"/>
      <c r="T424" s="105"/>
      <c r="U424" s="105"/>
    </row>
    <row r="425" ht="15.75" customHeight="1">
      <c r="Q425" s="105"/>
      <c r="R425" s="105"/>
      <c r="S425" s="105"/>
      <c r="T425" s="105"/>
      <c r="U425" s="105"/>
    </row>
    <row r="426" ht="15.75" customHeight="1">
      <c r="Q426" s="105"/>
      <c r="R426" s="105"/>
      <c r="S426" s="105"/>
      <c r="T426" s="105"/>
      <c r="U426" s="105"/>
    </row>
    <row r="427" ht="15.75" customHeight="1">
      <c r="Q427" s="105"/>
      <c r="R427" s="105"/>
      <c r="S427" s="105"/>
      <c r="T427" s="105"/>
      <c r="U427" s="105"/>
    </row>
    <row r="428" ht="15.75" customHeight="1">
      <c r="Q428" s="105"/>
      <c r="R428" s="105"/>
      <c r="S428" s="105"/>
      <c r="T428" s="105"/>
      <c r="U428" s="105"/>
    </row>
    <row r="429" ht="15.75" customHeight="1">
      <c r="Q429" s="105"/>
      <c r="R429" s="105"/>
      <c r="S429" s="105"/>
      <c r="T429" s="105"/>
      <c r="U429" s="105"/>
    </row>
    <row r="430" ht="15.75" customHeight="1">
      <c r="Q430" s="105"/>
      <c r="R430" s="105"/>
      <c r="S430" s="105"/>
      <c r="T430" s="105"/>
      <c r="U430" s="105"/>
    </row>
    <row r="431" ht="15.75" customHeight="1">
      <c r="Q431" s="105"/>
      <c r="R431" s="105"/>
      <c r="S431" s="105"/>
      <c r="T431" s="105"/>
      <c r="U431" s="105"/>
    </row>
    <row r="432" ht="15.75" customHeight="1">
      <c r="Q432" s="105"/>
      <c r="R432" s="105"/>
      <c r="S432" s="105"/>
      <c r="T432" s="105"/>
      <c r="U432" s="105"/>
    </row>
    <row r="433" ht="15.75" customHeight="1">
      <c r="Q433" s="105"/>
      <c r="R433" s="105"/>
      <c r="S433" s="105"/>
      <c r="T433" s="105"/>
      <c r="U433" s="105"/>
    </row>
    <row r="434" ht="15.75" customHeight="1">
      <c r="Q434" s="105"/>
      <c r="R434" s="105"/>
      <c r="S434" s="105"/>
      <c r="T434" s="105"/>
      <c r="U434" s="105"/>
    </row>
    <row r="435" ht="15.75" customHeight="1">
      <c r="Q435" s="105"/>
      <c r="R435" s="105"/>
      <c r="S435" s="105"/>
      <c r="T435" s="105"/>
      <c r="U435" s="105"/>
    </row>
    <row r="436" ht="15.75" customHeight="1">
      <c r="Q436" s="105"/>
      <c r="R436" s="105"/>
      <c r="S436" s="105"/>
      <c r="T436" s="105"/>
      <c r="U436" s="105"/>
    </row>
    <row r="437" ht="15.75" customHeight="1">
      <c r="Q437" s="105"/>
      <c r="R437" s="105"/>
      <c r="S437" s="105"/>
      <c r="T437" s="105"/>
      <c r="U437" s="105"/>
    </row>
    <row r="438" ht="15.75" customHeight="1">
      <c r="Q438" s="105"/>
      <c r="R438" s="105"/>
      <c r="S438" s="105"/>
      <c r="T438" s="105"/>
      <c r="U438" s="105"/>
    </row>
    <row r="439" ht="15.75" customHeight="1">
      <c r="Q439" s="105"/>
      <c r="R439" s="105"/>
      <c r="S439" s="105"/>
      <c r="T439" s="105"/>
      <c r="U439" s="105"/>
    </row>
    <row r="440" ht="15.75" customHeight="1">
      <c r="Q440" s="105"/>
      <c r="R440" s="105"/>
      <c r="S440" s="105"/>
      <c r="T440" s="105"/>
      <c r="U440" s="105"/>
    </row>
    <row r="441" ht="15.75" customHeight="1">
      <c r="Q441" s="105"/>
      <c r="R441" s="105"/>
      <c r="S441" s="105"/>
      <c r="T441" s="105"/>
      <c r="U441" s="105"/>
    </row>
    <row r="442" ht="15.75" customHeight="1">
      <c r="Q442" s="105"/>
      <c r="R442" s="105"/>
      <c r="S442" s="105"/>
      <c r="T442" s="105"/>
      <c r="U442" s="105"/>
    </row>
    <row r="443" ht="15.75" customHeight="1">
      <c r="Q443" s="105"/>
      <c r="R443" s="105"/>
      <c r="S443" s="105"/>
      <c r="T443" s="105"/>
      <c r="U443" s="105"/>
    </row>
    <row r="444" ht="15.75" customHeight="1">
      <c r="Q444" s="105"/>
      <c r="R444" s="105"/>
      <c r="S444" s="105"/>
      <c r="T444" s="105"/>
      <c r="U444" s="105"/>
    </row>
    <row r="445" ht="15.75" customHeight="1">
      <c r="Q445" s="105"/>
      <c r="R445" s="105"/>
      <c r="S445" s="105"/>
      <c r="T445" s="105"/>
      <c r="U445" s="105"/>
    </row>
    <row r="446" ht="15.75" customHeight="1">
      <c r="Q446" s="105"/>
      <c r="R446" s="105"/>
      <c r="S446" s="105"/>
      <c r="T446" s="105"/>
      <c r="U446" s="105"/>
    </row>
    <row r="447" ht="15.75" customHeight="1">
      <c r="Q447" s="105"/>
      <c r="R447" s="105"/>
      <c r="S447" s="105"/>
      <c r="T447" s="105"/>
      <c r="U447" s="105"/>
    </row>
    <row r="448" ht="15.75" customHeight="1">
      <c r="Q448" s="105"/>
      <c r="R448" s="105"/>
      <c r="S448" s="105"/>
      <c r="T448" s="105"/>
      <c r="U448" s="105"/>
    </row>
    <row r="449" ht="15.75" customHeight="1">
      <c r="Q449" s="105"/>
      <c r="R449" s="105"/>
      <c r="S449" s="105"/>
      <c r="T449" s="105"/>
      <c r="U449" s="105"/>
    </row>
    <row r="450" ht="15.75" customHeight="1">
      <c r="Q450" s="105"/>
      <c r="R450" s="105"/>
      <c r="S450" s="105"/>
      <c r="T450" s="105"/>
      <c r="U450" s="105"/>
    </row>
    <row r="451" ht="15.75" customHeight="1">
      <c r="Q451" s="105"/>
      <c r="R451" s="105"/>
      <c r="S451" s="105"/>
      <c r="T451" s="105"/>
      <c r="U451" s="105"/>
    </row>
    <row r="452" ht="15.75" customHeight="1">
      <c r="Q452" s="105"/>
      <c r="R452" s="105"/>
      <c r="S452" s="105"/>
      <c r="T452" s="105"/>
      <c r="U452" s="105"/>
    </row>
    <row r="453" ht="15.75" customHeight="1">
      <c r="Q453" s="105"/>
      <c r="R453" s="105"/>
      <c r="S453" s="105"/>
      <c r="T453" s="105"/>
      <c r="U453" s="105"/>
    </row>
    <row r="454" ht="15.75" customHeight="1">
      <c r="Q454" s="105"/>
      <c r="R454" s="105"/>
      <c r="S454" s="105"/>
      <c r="T454" s="105"/>
      <c r="U454" s="105"/>
    </row>
    <row r="455" ht="15.75" customHeight="1">
      <c r="Q455" s="105"/>
      <c r="R455" s="105"/>
      <c r="S455" s="105"/>
      <c r="T455" s="105"/>
      <c r="U455" s="105"/>
    </row>
    <row r="456" ht="15.75" customHeight="1">
      <c r="Q456" s="105"/>
      <c r="R456" s="105"/>
      <c r="S456" s="105"/>
      <c r="T456" s="105"/>
      <c r="U456" s="105"/>
    </row>
    <row r="457" ht="15.75" customHeight="1">
      <c r="Q457" s="105"/>
      <c r="R457" s="105"/>
      <c r="S457" s="105"/>
      <c r="T457" s="105"/>
      <c r="U457" s="105"/>
    </row>
    <row r="458" ht="15.75" customHeight="1">
      <c r="Q458" s="105"/>
      <c r="R458" s="105"/>
      <c r="S458" s="105"/>
      <c r="T458" s="105"/>
      <c r="U458" s="105"/>
    </row>
    <row r="459" ht="15.75" customHeight="1">
      <c r="Q459" s="105"/>
      <c r="R459" s="105"/>
      <c r="S459" s="105"/>
      <c r="T459" s="105"/>
      <c r="U459" s="105"/>
    </row>
    <row r="460" ht="15.75" customHeight="1">
      <c r="Q460" s="105"/>
      <c r="R460" s="105"/>
      <c r="S460" s="105"/>
      <c r="T460" s="105"/>
      <c r="U460" s="105"/>
    </row>
    <row r="461" ht="15.75" customHeight="1">
      <c r="Q461" s="105"/>
      <c r="R461" s="105"/>
      <c r="S461" s="105"/>
      <c r="T461" s="105"/>
      <c r="U461" s="105"/>
    </row>
    <row r="462" ht="15.75" customHeight="1">
      <c r="Q462" s="105"/>
      <c r="R462" s="105"/>
      <c r="S462" s="105"/>
      <c r="T462" s="105"/>
      <c r="U462" s="105"/>
    </row>
    <row r="463" ht="15.75" customHeight="1">
      <c r="Q463" s="105"/>
      <c r="R463" s="105"/>
      <c r="S463" s="105"/>
      <c r="T463" s="105"/>
      <c r="U463" s="105"/>
    </row>
    <row r="464" ht="15.75" customHeight="1">
      <c r="Q464" s="105"/>
      <c r="R464" s="105"/>
      <c r="S464" s="105"/>
      <c r="T464" s="105"/>
      <c r="U464" s="105"/>
    </row>
    <row r="465" ht="15.75" customHeight="1">
      <c r="Q465" s="105"/>
      <c r="R465" s="105"/>
      <c r="S465" s="105"/>
      <c r="T465" s="105"/>
      <c r="U465" s="105"/>
    </row>
    <row r="466" ht="15.75" customHeight="1">
      <c r="Q466" s="105"/>
      <c r="R466" s="105"/>
      <c r="S466" s="105"/>
      <c r="T466" s="105"/>
      <c r="U466" s="105"/>
    </row>
    <row r="467" ht="15.75" customHeight="1">
      <c r="Q467" s="105"/>
      <c r="R467" s="105"/>
      <c r="S467" s="105"/>
      <c r="T467" s="105"/>
      <c r="U467" s="105"/>
    </row>
    <row r="468" ht="15.75" customHeight="1">
      <c r="Q468" s="105"/>
      <c r="R468" s="105"/>
      <c r="S468" s="105"/>
      <c r="T468" s="105"/>
      <c r="U468" s="105"/>
    </row>
    <row r="469" ht="15.75" customHeight="1">
      <c r="Q469" s="105"/>
      <c r="R469" s="105"/>
      <c r="S469" s="105"/>
      <c r="T469" s="105"/>
      <c r="U469" s="105"/>
    </row>
    <row r="470" ht="15.75" customHeight="1">
      <c r="Q470" s="105"/>
      <c r="R470" s="105"/>
      <c r="S470" s="105"/>
      <c r="T470" s="105"/>
      <c r="U470" s="105"/>
    </row>
    <row r="471" ht="15.75" customHeight="1">
      <c r="Q471" s="105"/>
      <c r="R471" s="105"/>
      <c r="S471" s="105"/>
      <c r="T471" s="105"/>
      <c r="U471" s="105"/>
    </row>
    <row r="472" ht="15.75" customHeight="1">
      <c r="Q472" s="105"/>
      <c r="R472" s="105"/>
      <c r="S472" s="105"/>
      <c r="T472" s="105"/>
      <c r="U472" s="105"/>
    </row>
    <row r="473" ht="15.75" customHeight="1">
      <c r="Q473" s="105"/>
      <c r="R473" s="105"/>
      <c r="S473" s="105"/>
      <c r="T473" s="105"/>
      <c r="U473" s="105"/>
    </row>
    <row r="474" ht="15.75" customHeight="1">
      <c r="Q474" s="105"/>
      <c r="R474" s="105"/>
      <c r="S474" s="105"/>
      <c r="T474" s="105"/>
      <c r="U474" s="105"/>
    </row>
    <row r="475" ht="15.75" customHeight="1">
      <c r="Q475" s="105"/>
      <c r="R475" s="105"/>
      <c r="S475" s="105"/>
      <c r="T475" s="105"/>
      <c r="U475" s="105"/>
    </row>
    <row r="476" ht="15.75" customHeight="1">
      <c r="Q476" s="105"/>
      <c r="R476" s="105"/>
      <c r="S476" s="105"/>
      <c r="T476" s="105"/>
      <c r="U476" s="105"/>
    </row>
    <row r="477" ht="15.75" customHeight="1">
      <c r="Q477" s="105"/>
      <c r="R477" s="105"/>
      <c r="S477" s="105"/>
      <c r="T477" s="105"/>
      <c r="U477" s="105"/>
    </row>
    <row r="478" ht="15.75" customHeight="1">
      <c r="Q478" s="105"/>
      <c r="R478" s="105"/>
      <c r="S478" s="105"/>
      <c r="T478" s="105"/>
      <c r="U478" s="105"/>
    </row>
    <row r="479" ht="15.75" customHeight="1">
      <c r="Q479" s="105"/>
      <c r="R479" s="105"/>
      <c r="S479" s="105"/>
      <c r="T479" s="105"/>
      <c r="U479" s="105"/>
    </row>
    <row r="480" ht="15.75" customHeight="1">
      <c r="Q480" s="105"/>
      <c r="R480" s="105"/>
      <c r="S480" s="105"/>
      <c r="T480" s="105"/>
      <c r="U480" s="105"/>
    </row>
    <row r="481" ht="15.75" customHeight="1">
      <c r="Q481" s="105"/>
      <c r="R481" s="105"/>
      <c r="S481" s="105"/>
      <c r="T481" s="105"/>
      <c r="U481" s="105"/>
    </row>
    <row r="482" ht="15.75" customHeight="1">
      <c r="Q482" s="105"/>
      <c r="R482" s="105"/>
      <c r="S482" s="105"/>
      <c r="T482" s="105"/>
      <c r="U482" s="105"/>
    </row>
    <row r="483" ht="15.75" customHeight="1">
      <c r="Q483" s="105"/>
      <c r="R483" s="105"/>
      <c r="S483" s="105"/>
      <c r="T483" s="105"/>
      <c r="U483" s="105"/>
    </row>
    <row r="484" ht="15.75" customHeight="1">
      <c r="Q484" s="105"/>
      <c r="R484" s="105"/>
      <c r="S484" s="105"/>
      <c r="T484" s="105"/>
      <c r="U484" s="105"/>
    </row>
    <row r="485" ht="15.75" customHeight="1">
      <c r="Q485" s="105"/>
      <c r="R485" s="105"/>
      <c r="S485" s="105"/>
      <c r="T485" s="105"/>
      <c r="U485" s="105"/>
    </row>
    <row r="486" ht="15.75" customHeight="1">
      <c r="Q486" s="105"/>
      <c r="R486" s="105"/>
      <c r="S486" s="105"/>
      <c r="T486" s="105"/>
      <c r="U486" s="105"/>
    </row>
    <row r="487" ht="15.75" customHeight="1">
      <c r="Q487" s="105"/>
      <c r="R487" s="105"/>
      <c r="S487" s="105"/>
      <c r="T487" s="105"/>
      <c r="U487" s="105"/>
    </row>
    <row r="488" ht="15.75" customHeight="1">
      <c r="Q488" s="105"/>
      <c r="R488" s="105"/>
      <c r="S488" s="105"/>
      <c r="T488" s="105"/>
      <c r="U488" s="105"/>
    </row>
    <row r="489" ht="15.75" customHeight="1">
      <c r="Q489" s="105"/>
      <c r="R489" s="105"/>
      <c r="S489" s="105"/>
      <c r="T489" s="105"/>
      <c r="U489" s="105"/>
    </row>
    <row r="490" ht="15.75" customHeight="1">
      <c r="Q490" s="105"/>
      <c r="R490" s="105"/>
      <c r="S490" s="105"/>
      <c r="T490" s="105"/>
      <c r="U490" s="105"/>
    </row>
    <row r="491" ht="15.75" customHeight="1">
      <c r="Q491" s="105"/>
      <c r="R491" s="105"/>
      <c r="S491" s="105"/>
      <c r="T491" s="105"/>
      <c r="U491" s="105"/>
    </row>
    <row r="492" ht="15.75" customHeight="1">
      <c r="Q492" s="105"/>
      <c r="R492" s="105"/>
      <c r="S492" s="105"/>
      <c r="T492" s="105"/>
      <c r="U492" s="105"/>
    </row>
    <row r="493" ht="15.75" customHeight="1">
      <c r="Q493" s="105"/>
      <c r="R493" s="105"/>
      <c r="S493" s="105"/>
      <c r="T493" s="105"/>
      <c r="U493" s="105"/>
    </row>
    <row r="494" ht="15.75" customHeight="1">
      <c r="Q494" s="105"/>
      <c r="R494" s="105"/>
      <c r="S494" s="105"/>
      <c r="T494" s="105"/>
      <c r="U494" s="105"/>
    </row>
    <row r="495" ht="15.75" customHeight="1">
      <c r="Q495" s="105"/>
      <c r="R495" s="105"/>
      <c r="S495" s="105"/>
      <c r="T495" s="105"/>
      <c r="U495" s="105"/>
    </row>
    <row r="496" ht="15.75" customHeight="1">
      <c r="Q496" s="105"/>
      <c r="R496" s="105"/>
      <c r="S496" s="105"/>
      <c r="T496" s="105"/>
      <c r="U496" s="105"/>
    </row>
    <row r="497" ht="15.75" customHeight="1">
      <c r="Q497" s="105"/>
      <c r="R497" s="105"/>
      <c r="S497" s="105"/>
      <c r="T497" s="105"/>
      <c r="U497" s="105"/>
    </row>
    <row r="498" ht="15.75" customHeight="1">
      <c r="Q498" s="105"/>
      <c r="R498" s="105"/>
      <c r="S498" s="105"/>
      <c r="T498" s="105"/>
      <c r="U498" s="105"/>
    </row>
    <row r="499" ht="15.75" customHeight="1">
      <c r="Q499" s="105"/>
      <c r="R499" s="105"/>
      <c r="S499" s="105"/>
      <c r="T499" s="105"/>
      <c r="U499" s="105"/>
    </row>
    <row r="500" ht="15.75" customHeight="1">
      <c r="Q500" s="105"/>
      <c r="R500" s="105"/>
      <c r="S500" s="105"/>
      <c r="T500" s="105"/>
      <c r="U500" s="105"/>
    </row>
    <row r="501" ht="15.75" customHeight="1">
      <c r="Q501" s="105"/>
      <c r="R501" s="105"/>
      <c r="S501" s="105"/>
      <c r="T501" s="105"/>
      <c r="U501" s="105"/>
    </row>
    <row r="502" ht="15.75" customHeight="1">
      <c r="Q502" s="105"/>
      <c r="R502" s="105"/>
      <c r="S502" s="105"/>
      <c r="T502" s="105"/>
      <c r="U502" s="105"/>
    </row>
    <row r="503" ht="15.75" customHeight="1">
      <c r="Q503" s="105"/>
      <c r="R503" s="105"/>
      <c r="S503" s="105"/>
      <c r="T503" s="105"/>
      <c r="U503" s="105"/>
    </row>
    <row r="504" ht="15.75" customHeight="1">
      <c r="Q504" s="105"/>
      <c r="R504" s="105"/>
      <c r="S504" s="105"/>
      <c r="T504" s="105"/>
      <c r="U504" s="105"/>
    </row>
    <row r="505" ht="15.75" customHeight="1">
      <c r="Q505" s="105"/>
      <c r="R505" s="105"/>
      <c r="S505" s="105"/>
      <c r="T505" s="105"/>
      <c r="U505" s="105"/>
    </row>
    <row r="506" ht="15.75" customHeight="1">
      <c r="Q506" s="105"/>
      <c r="R506" s="105"/>
      <c r="S506" s="105"/>
      <c r="T506" s="105"/>
      <c r="U506" s="105"/>
    </row>
    <row r="507" ht="15.75" customHeight="1">
      <c r="Q507" s="105"/>
      <c r="R507" s="105"/>
      <c r="S507" s="105"/>
      <c r="T507" s="105"/>
      <c r="U507" s="105"/>
    </row>
    <row r="508" ht="15.75" customHeight="1">
      <c r="Q508" s="105"/>
      <c r="R508" s="105"/>
      <c r="S508" s="105"/>
      <c r="T508" s="105"/>
      <c r="U508" s="105"/>
    </row>
    <row r="509" ht="15.75" customHeight="1">
      <c r="Q509" s="105"/>
      <c r="R509" s="105"/>
      <c r="S509" s="105"/>
      <c r="T509" s="105"/>
      <c r="U509" s="105"/>
    </row>
    <row r="510" ht="15.75" customHeight="1">
      <c r="Q510" s="105"/>
      <c r="R510" s="105"/>
      <c r="S510" s="105"/>
      <c r="T510" s="105"/>
      <c r="U510" s="105"/>
    </row>
    <row r="511" ht="15.75" customHeight="1">
      <c r="Q511" s="105"/>
      <c r="R511" s="105"/>
      <c r="S511" s="105"/>
      <c r="T511" s="105"/>
      <c r="U511" s="105"/>
    </row>
    <row r="512" ht="15.75" customHeight="1">
      <c r="Q512" s="105"/>
      <c r="R512" s="105"/>
      <c r="S512" s="105"/>
      <c r="T512" s="105"/>
      <c r="U512" s="105"/>
    </row>
    <row r="513" ht="15.75" customHeight="1">
      <c r="Q513" s="105"/>
      <c r="R513" s="105"/>
      <c r="S513" s="105"/>
      <c r="T513" s="105"/>
      <c r="U513" s="105"/>
    </row>
    <row r="514" ht="15.75" customHeight="1">
      <c r="Q514" s="105"/>
      <c r="R514" s="105"/>
      <c r="S514" s="105"/>
      <c r="T514" s="105"/>
      <c r="U514" s="105"/>
    </row>
    <row r="515" ht="15.75" customHeight="1">
      <c r="Q515" s="105"/>
      <c r="R515" s="105"/>
      <c r="S515" s="105"/>
      <c r="T515" s="105"/>
      <c r="U515" s="105"/>
    </row>
    <row r="516" ht="15.75" customHeight="1">
      <c r="Q516" s="105"/>
      <c r="R516" s="105"/>
      <c r="S516" s="105"/>
      <c r="T516" s="105"/>
      <c r="U516" s="105"/>
    </row>
    <row r="517" ht="15.75" customHeight="1">
      <c r="Q517" s="105"/>
      <c r="R517" s="105"/>
      <c r="S517" s="105"/>
      <c r="T517" s="105"/>
      <c r="U517" s="105"/>
    </row>
    <row r="518" ht="15.75" customHeight="1">
      <c r="Q518" s="105"/>
      <c r="R518" s="105"/>
      <c r="S518" s="105"/>
      <c r="T518" s="105"/>
      <c r="U518" s="105"/>
    </row>
    <row r="519" ht="15.75" customHeight="1">
      <c r="Q519" s="105"/>
      <c r="R519" s="105"/>
      <c r="S519" s="105"/>
      <c r="T519" s="105"/>
      <c r="U519" s="105"/>
    </row>
    <row r="520" ht="15.75" customHeight="1">
      <c r="Q520" s="105"/>
      <c r="R520" s="105"/>
      <c r="S520" s="105"/>
      <c r="T520" s="105"/>
      <c r="U520" s="105"/>
    </row>
    <row r="521" ht="15.75" customHeight="1">
      <c r="Q521" s="105"/>
      <c r="R521" s="105"/>
      <c r="S521" s="105"/>
      <c r="T521" s="105"/>
      <c r="U521" s="105"/>
    </row>
    <row r="522" ht="15.75" customHeight="1">
      <c r="Q522" s="105"/>
      <c r="R522" s="105"/>
      <c r="S522" s="105"/>
      <c r="T522" s="105"/>
      <c r="U522" s="105"/>
    </row>
    <row r="523" ht="15.75" customHeight="1">
      <c r="Q523" s="105"/>
      <c r="R523" s="105"/>
      <c r="S523" s="105"/>
      <c r="T523" s="105"/>
      <c r="U523" s="105"/>
    </row>
    <row r="524" ht="15.75" customHeight="1">
      <c r="Q524" s="105"/>
      <c r="R524" s="105"/>
      <c r="S524" s="105"/>
      <c r="T524" s="105"/>
      <c r="U524" s="105"/>
    </row>
    <row r="525" ht="15.75" customHeight="1">
      <c r="Q525" s="105"/>
      <c r="R525" s="105"/>
      <c r="S525" s="105"/>
      <c r="T525" s="105"/>
      <c r="U525" s="105"/>
    </row>
    <row r="526" ht="15.75" customHeight="1">
      <c r="Q526" s="105"/>
      <c r="R526" s="105"/>
      <c r="S526" s="105"/>
      <c r="T526" s="105"/>
      <c r="U526" s="105"/>
    </row>
    <row r="527" ht="15.75" customHeight="1">
      <c r="Q527" s="105"/>
      <c r="R527" s="105"/>
      <c r="S527" s="105"/>
      <c r="T527" s="105"/>
      <c r="U527" s="105"/>
    </row>
    <row r="528" ht="15.75" customHeight="1">
      <c r="Q528" s="105"/>
      <c r="R528" s="105"/>
      <c r="S528" s="105"/>
      <c r="T528" s="105"/>
      <c r="U528" s="105"/>
    </row>
    <row r="529" ht="15.75" customHeight="1">
      <c r="Q529" s="105"/>
      <c r="R529" s="105"/>
      <c r="S529" s="105"/>
      <c r="T529" s="105"/>
      <c r="U529" s="105"/>
    </row>
    <row r="530" ht="15.75" customHeight="1">
      <c r="Q530" s="105"/>
      <c r="R530" s="105"/>
      <c r="S530" s="105"/>
      <c r="T530" s="105"/>
      <c r="U530" s="105"/>
    </row>
    <row r="531" ht="15.75" customHeight="1">
      <c r="Q531" s="105"/>
      <c r="R531" s="105"/>
      <c r="S531" s="105"/>
      <c r="T531" s="105"/>
      <c r="U531" s="105"/>
    </row>
    <row r="532" ht="15.75" customHeight="1">
      <c r="Q532" s="105"/>
      <c r="R532" s="105"/>
      <c r="S532" s="105"/>
      <c r="T532" s="105"/>
      <c r="U532" s="105"/>
    </row>
    <row r="533" ht="15.75" customHeight="1">
      <c r="Q533" s="105"/>
      <c r="R533" s="105"/>
      <c r="S533" s="105"/>
      <c r="T533" s="105"/>
      <c r="U533" s="105"/>
    </row>
    <row r="534" ht="15.75" customHeight="1">
      <c r="Q534" s="105"/>
      <c r="R534" s="105"/>
      <c r="S534" s="105"/>
      <c r="T534" s="105"/>
      <c r="U534" s="105"/>
    </row>
    <row r="535" ht="15.75" customHeight="1">
      <c r="Q535" s="105"/>
      <c r="R535" s="105"/>
      <c r="S535" s="105"/>
      <c r="T535" s="105"/>
      <c r="U535" s="105"/>
    </row>
    <row r="536" ht="15.75" customHeight="1">
      <c r="Q536" s="105"/>
      <c r="R536" s="105"/>
      <c r="S536" s="105"/>
      <c r="T536" s="105"/>
      <c r="U536" s="105"/>
    </row>
    <row r="537" ht="15.75" customHeight="1">
      <c r="Q537" s="105"/>
      <c r="R537" s="105"/>
      <c r="S537" s="105"/>
      <c r="T537" s="105"/>
      <c r="U537" s="105"/>
    </row>
    <row r="538" ht="15.75" customHeight="1">
      <c r="Q538" s="105"/>
      <c r="R538" s="105"/>
      <c r="S538" s="105"/>
      <c r="T538" s="105"/>
      <c r="U538" s="105"/>
    </row>
    <row r="539" ht="15.75" customHeight="1">
      <c r="Q539" s="105"/>
      <c r="R539" s="105"/>
      <c r="S539" s="105"/>
      <c r="T539" s="105"/>
      <c r="U539" s="105"/>
    </row>
    <row r="540" ht="15.75" customHeight="1">
      <c r="Q540" s="105"/>
      <c r="R540" s="105"/>
      <c r="S540" s="105"/>
      <c r="T540" s="105"/>
      <c r="U540" s="105"/>
    </row>
    <row r="541" ht="15.75" customHeight="1">
      <c r="Q541" s="105"/>
      <c r="R541" s="105"/>
      <c r="S541" s="105"/>
      <c r="T541" s="105"/>
      <c r="U541" s="105"/>
    </row>
    <row r="542" ht="15.75" customHeight="1">
      <c r="Q542" s="105"/>
      <c r="R542" s="105"/>
      <c r="S542" s="105"/>
      <c r="T542" s="105"/>
      <c r="U542" s="105"/>
    </row>
    <row r="543" ht="15.75" customHeight="1">
      <c r="Q543" s="105"/>
      <c r="R543" s="105"/>
      <c r="S543" s="105"/>
      <c r="T543" s="105"/>
      <c r="U543" s="105"/>
    </row>
    <row r="544" ht="15.75" customHeight="1">
      <c r="Q544" s="105"/>
      <c r="R544" s="105"/>
      <c r="S544" s="105"/>
      <c r="T544" s="105"/>
      <c r="U544" s="105"/>
    </row>
    <row r="545" ht="15.75" customHeight="1">
      <c r="Q545" s="105"/>
      <c r="R545" s="105"/>
      <c r="S545" s="105"/>
      <c r="T545" s="105"/>
      <c r="U545" s="105"/>
    </row>
    <row r="546" ht="15.75" customHeight="1">
      <c r="Q546" s="105"/>
      <c r="R546" s="105"/>
      <c r="S546" s="105"/>
      <c r="T546" s="105"/>
      <c r="U546" s="105"/>
    </row>
    <row r="547" ht="15.75" customHeight="1">
      <c r="Q547" s="105"/>
      <c r="R547" s="105"/>
      <c r="S547" s="105"/>
      <c r="T547" s="105"/>
      <c r="U547" s="105"/>
    </row>
    <row r="548" ht="15.75" customHeight="1">
      <c r="Q548" s="105"/>
      <c r="R548" s="105"/>
      <c r="S548" s="105"/>
      <c r="T548" s="105"/>
      <c r="U548" s="105"/>
    </row>
    <row r="549" ht="15.75" customHeight="1">
      <c r="Q549" s="105"/>
      <c r="R549" s="105"/>
      <c r="S549" s="105"/>
      <c r="T549" s="105"/>
      <c r="U549" s="105"/>
    </row>
    <row r="550" ht="15.75" customHeight="1">
      <c r="Q550" s="105"/>
      <c r="R550" s="105"/>
      <c r="S550" s="105"/>
      <c r="T550" s="105"/>
      <c r="U550" s="105"/>
    </row>
    <row r="551" ht="15.75" customHeight="1">
      <c r="Q551" s="105"/>
      <c r="R551" s="105"/>
      <c r="S551" s="105"/>
      <c r="T551" s="105"/>
      <c r="U551" s="105"/>
    </row>
    <row r="552" ht="15.75" customHeight="1">
      <c r="Q552" s="105"/>
      <c r="R552" s="105"/>
      <c r="S552" s="105"/>
      <c r="T552" s="105"/>
      <c r="U552" s="105"/>
    </row>
    <row r="553" ht="15.75" customHeight="1">
      <c r="Q553" s="105"/>
      <c r="R553" s="105"/>
      <c r="S553" s="105"/>
      <c r="T553" s="105"/>
      <c r="U553" s="105"/>
    </row>
    <row r="554" ht="15.75" customHeight="1">
      <c r="Q554" s="105"/>
      <c r="R554" s="105"/>
      <c r="S554" s="105"/>
      <c r="T554" s="105"/>
      <c r="U554" s="105"/>
    </row>
    <row r="555" ht="15.75" customHeight="1">
      <c r="Q555" s="105"/>
      <c r="R555" s="105"/>
      <c r="S555" s="105"/>
      <c r="T555" s="105"/>
      <c r="U555" s="105"/>
    </row>
    <row r="556" ht="15.75" customHeight="1">
      <c r="Q556" s="105"/>
      <c r="R556" s="105"/>
      <c r="S556" s="105"/>
      <c r="T556" s="105"/>
      <c r="U556" s="105"/>
    </row>
    <row r="557" ht="15.75" customHeight="1">
      <c r="Q557" s="105"/>
      <c r="R557" s="105"/>
      <c r="S557" s="105"/>
      <c r="T557" s="105"/>
      <c r="U557" s="105"/>
    </row>
    <row r="558" ht="15.75" customHeight="1">
      <c r="Q558" s="105"/>
      <c r="R558" s="105"/>
      <c r="S558" s="105"/>
      <c r="T558" s="105"/>
      <c r="U558" s="105"/>
    </row>
    <row r="559" ht="15.75" customHeight="1">
      <c r="Q559" s="105"/>
      <c r="R559" s="105"/>
      <c r="S559" s="105"/>
      <c r="T559" s="105"/>
      <c r="U559" s="105"/>
    </row>
    <row r="560" ht="15.75" customHeight="1">
      <c r="Q560" s="105"/>
      <c r="R560" s="105"/>
      <c r="S560" s="105"/>
      <c r="T560" s="105"/>
      <c r="U560" s="105"/>
    </row>
    <row r="561" ht="15.75" customHeight="1">
      <c r="Q561" s="105"/>
      <c r="R561" s="105"/>
      <c r="S561" s="105"/>
      <c r="T561" s="105"/>
      <c r="U561" s="105"/>
    </row>
    <row r="562" ht="15.75" customHeight="1">
      <c r="Q562" s="105"/>
      <c r="R562" s="105"/>
      <c r="S562" s="105"/>
      <c r="T562" s="105"/>
      <c r="U562" s="105"/>
    </row>
    <row r="563" ht="15.75" customHeight="1">
      <c r="Q563" s="105"/>
      <c r="R563" s="105"/>
      <c r="S563" s="105"/>
      <c r="T563" s="105"/>
      <c r="U563" s="105"/>
    </row>
    <row r="564" ht="15.75" customHeight="1">
      <c r="Q564" s="105"/>
      <c r="R564" s="105"/>
      <c r="S564" s="105"/>
      <c r="T564" s="105"/>
      <c r="U564" s="105"/>
    </row>
    <row r="565" ht="15.75" customHeight="1">
      <c r="Q565" s="105"/>
      <c r="R565" s="105"/>
      <c r="S565" s="105"/>
      <c r="T565" s="105"/>
      <c r="U565" s="105"/>
    </row>
    <row r="566" ht="15.75" customHeight="1">
      <c r="Q566" s="105"/>
      <c r="R566" s="105"/>
      <c r="S566" s="105"/>
      <c r="T566" s="105"/>
      <c r="U566" s="105"/>
    </row>
    <row r="567" ht="15.75" customHeight="1">
      <c r="Q567" s="105"/>
      <c r="R567" s="105"/>
      <c r="S567" s="105"/>
      <c r="T567" s="105"/>
      <c r="U567" s="105"/>
    </row>
    <row r="568" ht="15.75" customHeight="1">
      <c r="Q568" s="105"/>
      <c r="R568" s="105"/>
      <c r="S568" s="105"/>
      <c r="T568" s="105"/>
      <c r="U568" s="105"/>
    </row>
    <row r="569" ht="15.75" customHeight="1">
      <c r="Q569" s="105"/>
      <c r="R569" s="105"/>
      <c r="S569" s="105"/>
      <c r="T569" s="105"/>
      <c r="U569" s="105"/>
    </row>
    <row r="570" ht="15.75" customHeight="1">
      <c r="Q570" s="105"/>
      <c r="R570" s="105"/>
      <c r="S570" s="105"/>
      <c r="T570" s="105"/>
      <c r="U570" s="105"/>
    </row>
    <row r="571" ht="15.75" customHeight="1">
      <c r="Q571" s="105"/>
      <c r="R571" s="105"/>
      <c r="S571" s="105"/>
      <c r="T571" s="105"/>
      <c r="U571" s="105"/>
    </row>
    <row r="572" ht="15.75" customHeight="1">
      <c r="Q572" s="105"/>
      <c r="R572" s="105"/>
      <c r="S572" s="105"/>
      <c r="T572" s="105"/>
      <c r="U572" s="105"/>
    </row>
    <row r="573" ht="15.75" customHeight="1">
      <c r="Q573" s="105"/>
      <c r="R573" s="105"/>
      <c r="S573" s="105"/>
      <c r="T573" s="105"/>
      <c r="U573" s="105"/>
    </row>
    <row r="574" ht="15.75" customHeight="1">
      <c r="Q574" s="105"/>
      <c r="R574" s="105"/>
      <c r="S574" s="105"/>
      <c r="T574" s="105"/>
      <c r="U574" s="105"/>
    </row>
    <row r="575" ht="15.75" customHeight="1">
      <c r="Q575" s="105"/>
      <c r="R575" s="105"/>
      <c r="S575" s="105"/>
      <c r="T575" s="105"/>
      <c r="U575" s="105"/>
    </row>
    <row r="576" ht="15.75" customHeight="1">
      <c r="Q576" s="105"/>
      <c r="R576" s="105"/>
      <c r="S576" s="105"/>
      <c r="T576" s="105"/>
      <c r="U576" s="105"/>
    </row>
    <row r="577" ht="15.75" customHeight="1">
      <c r="Q577" s="105"/>
      <c r="R577" s="105"/>
      <c r="S577" s="105"/>
      <c r="T577" s="105"/>
      <c r="U577" s="105"/>
    </row>
    <row r="578" ht="15.75" customHeight="1">
      <c r="Q578" s="105"/>
      <c r="R578" s="105"/>
      <c r="S578" s="105"/>
      <c r="T578" s="105"/>
      <c r="U578" s="105"/>
    </row>
    <row r="579" ht="15.75" customHeight="1">
      <c r="Q579" s="105"/>
      <c r="R579" s="105"/>
      <c r="S579" s="105"/>
      <c r="T579" s="105"/>
      <c r="U579" s="105"/>
    </row>
    <row r="580" ht="15.75" customHeight="1">
      <c r="Q580" s="105"/>
      <c r="R580" s="105"/>
      <c r="S580" s="105"/>
      <c r="T580" s="105"/>
      <c r="U580" s="105"/>
    </row>
    <row r="581" ht="15.75" customHeight="1">
      <c r="Q581" s="105"/>
      <c r="R581" s="105"/>
      <c r="S581" s="105"/>
      <c r="T581" s="105"/>
      <c r="U581" s="105"/>
    </row>
    <row r="582" ht="15.75" customHeight="1">
      <c r="Q582" s="105"/>
      <c r="R582" s="105"/>
      <c r="S582" s="105"/>
      <c r="T582" s="105"/>
      <c r="U582" s="105"/>
    </row>
    <row r="583" ht="15.75" customHeight="1">
      <c r="Q583" s="105"/>
      <c r="R583" s="105"/>
      <c r="S583" s="105"/>
      <c r="T583" s="105"/>
      <c r="U583" s="105"/>
    </row>
    <row r="584" ht="15.75" customHeight="1">
      <c r="Q584" s="105"/>
      <c r="R584" s="105"/>
      <c r="S584" s="105"/>
      <c r="T584" s="105"/>
      <c r="U584" s="105"/>
    </row>
    <row r="585" ht="15.75" customHeight="1">
      <c r="Q585" s="105"/>
      <c r="R585" s="105"/>
      <c r="S585" s="105"/>
      <c r="T585" s="105"/>
      <c r="U585" s="105"/>
    </row>
    <row r="586" ht="15.75" customHeight="1">
      <c r="Q586" s="105"/>
      <c r="R586" s="105"/>
      <c r="S586" s="105"/>
      <c r="T586" s="105"/>
      <c r="U586" s="105"/>
    </row>
    <row r="587" ht="15.75" customHeight="1">
      <c r="Q587" s="105"/>
      <c r="R587" s="105"/>
      <c r="S587" s="105"/>
      <c r="T587" s="105"/>
      <c r="U587" s="105"/>
    </row>
    <row r="588" ht="15.75" customHeight="1">
      <c r="Q588" s="105"/>
      <c r="R588" s="105"/>
      <c r="S588" s="105"/>
      <c r="T588" s="105"/>
      <c r="U588" s="105"/>
    </row>
    <row r="589" ht="15.75" customHeight="1">
      <c r="Q589" s="105"/>
      <c r="R589" s="105"/>
      <c r="S589" s="105"/>
      <c r="T589" s="105"/>
      <c r="U589" s="105"/>
    </row>
    <row r="590" ht="15.75" customHeight="1">
      <c r="Q590" s="105"/>
      <c r="R590" s="105"/>
      <c r="S590" s="105"/>
      <c r="T590" s="105"/>
      <c r="U590" s="105"/>
    </row>
    <row r="591" ht="15.75" customHeight="1">
      <c r="Q591" s="105"/>
      <c r="R591" s="105"/>
      <c r="S591" s="105"/>
      <c r="T591" s="105"/>
      <c r="U591" s="105"/>
    </row>
    <row r="592" ht="15.75" customHeight="1">
      <c r="Q592" s="105"/>
      <c r="R592" s="105"/>
      <c r="S592" s="105"/>
      <c r="T592" s="105"/>
      <c r="U592" s="105"/>
    </row>
    <row r="593" ht="15.75" customHeight="1">
      <c r="Q593" s="105"/>
      <c r="R593" s="105"/>
      <c r="S593" s="105"/>
      <c r="T593" s="105"/>
      <c r="U593" s="105"/>
    </row>
    <row r="594" ht="15.75" customHeight="1">
      <c r="Q594" s="105"/>
      <c r="R594" s="105"/>
      <c r="S594" s="105"/>
      <c r="T594" s="105"/>
      <c r="U594" s="105"/>
    </row>
    <row r="595" ht="15.75" customHeight="1">
      <c r="Q595" s="105"/>
      <c r="R595" s="105"/>
      <c r="S595" s="105"/>
      <c r="T595" s="105"/>
      <c r="U595" s="105"/>
    </row>
    <row r="596" ht="15.75" customHeight="1">
      <c r="Q596" s="105"/>
      <c r="R596" s="105"/>
      <c r="S596" s="105"/>
      <c r="T596" s="105"/>
      <c r="U596" s="105"/>
    </row>
    <row r="597" ht="15.75" customHeight="1">
      <c r="Q597" s="105"/>
      <c r="R597" s="105"/>
      <c r="S597" s="105"/>
      <c r="T597" s="105"/>
      <c r="U597" s="105"/>
    </row>
    <row r="598" ht="15.75" customHeight="1">
      <c r="Q598" s="105"/>
      <c r="R598" s="105"/>
      <c r="S598" s="105"/>
      <c r="T598" s="105"/>
      <c r="U598" s="105"/>
    </row>
    <row r="599" ht="15.75" customHeight="1">
      <c r="Q599" s="105"/>
      <c r="R599" s="105"/>
      <c r="S599" s="105"/>
      <c r="T599" s="105"/>
      <c r="U599" s="105"/>
    </row>
    <row r="600" ht="15.75" customHeight="1">
      <c r="Q600" s="105"/>
      <c r="R600" s="105"/>
      <c r="S600" s="105"/>
      <c r="T600" s="105"/>
      <c r="U600" s="105"/>
    </row>
    <row r="601" ht="15.75" customHeight="1">
      <c r="Q601" s="105"/>
      <c r="R601" s="105"/>
      <c r="S601" s="105"/>
      <c r="T601" s="105"/>
      <c r="U601" s="105"/>
    </row>
    <row r="602" ht="15.75" customHeight="1">
      <c r="Q602" s="105"/>
      <c r="R602" s="105"/>
      <c r="S602" s="105"/>
      <c r="T602" s="105"/>
      <c r="U602" s="105"/>
    </row>
    <row r="603" ht="15.75" customHeight="1">
      <c r="Q603" s="105"/>
      <c r="R603" s="105"/>
      <c r="S603" s="105"/>
      <c r="T603" s="105"/>
      <c r="U603" s="105"/>
    </row>
    <row r="604" ht="15.75" customHeight="1">
      <c r="Q604" s="105"/>
      <c r="R604" s="105"/>
      <c r="S604" s="105"/>
      <c r="T604" s="105"/>
      <c r="U604" s="105"/>
    </row>
    <row r="605" ht="15.75" customHeight="1">
      <c r="Q605" s="105"/>
      <c r="R605" s="105"/>
      <c r="S605" s="105"/>
      <c r="T605" s="105"/>
      <c r="U605" s="105"/>
    </row>
    <row r="606" ht="15.75" customHeight="1">
      <c r="Q606" s="105"/>
      <c r="R606" s="105"/>
      <c r="S606" s="105"/>
      <c r="T606" s="105"/>
      <c r="U606" s="105"/>
    </row>
    <row r="607" ht="15.75" customHeight="1">
      <c r="Q607" s="105"/>
      <c r="R607" s="105"/>
      <c r="S607" s="105"/>
      <c r="T607" s="105"/>
      <c r="U607" s="105"/>
    </row>
    <row r="608" ht="15.75" customHeight="1">
      <c r="Q608" s="105"/>
      <c r="R608" s="105"/>
      <c r="S608" s="105"/>
      <c r="T608" s="105"/>
      <c r="U608" s="105"/>
    </row>
    <row r="609" ht="15.75" customHeight="1">
      <c r="Q609" s="105"/>
      <c r="R609" s="105"/>
      <c r="S609" s="105"/>
      <c r="T609" s="105"/>
      <c r="U609" s="105"/>
    </row>
    <row r="610" ht="15.75" customHeight="1">
      <c r="Q610" s="105"/>
      <c r="R610" s="105"/>
      <c r="S610" s="105"/>
      <c r="T610" s="105"/>
      <c r="U610" s="105"/>
    </row>
    <row r="611" ht="15.75" customHeight="1">
      <c r="Q611" s="105"/>
      <c r="R611" s="105"/>
      <c r="S611" s="105"/>
      <c r="T611" s="105"/>
      <c r="U611" s="105"/>
    </row>
    <row r="612" ht="15.75" customHeight="1">
      <c r="Q612" s="105"/>
      <c r="R612" s="105"/>
      <c r="S612" s="105"/>
      <c r="T612" s="105"/>
      <c r="U612" s="105"/>
    </row>
    <row r="613" ht="15.75" customHeight="1">
      <c r="Q613" s="105"/>
      <c r="R613" s="105"/>
      <c r="S613" s="105"/>
      <c r="T613" s="105"/>
      <c r="U613" s="105"/>
    </row>
    <row r="614" ht="15.75" customHeight="1">
      <c r="Q614" s="105"/>
      <c r="R614" s="105"/>
      <c r="S614" s="105"/>
      <c r="T614" s="105"/>
      <c r="U614" s="105"/>
    </row>
    <row r="615" ht="15.75" customHeight="1">
      <c r="Q615" s="105"/>
      <c r="R615" s="105"/>
      <c r="S615" s="105"/>
      <c r="T615" s="105"/>
      <c r="U615" s="105"/>
    </row>
    <row r="616" ht="15.75" customHeight="1">
      <c r="Q616" s="105"/>
      <c r="R616" s="105"/>
      <c r="S616" s="105"/>
      <c r="T616" s="105"/>
      <c r="U616" s="105"/>
    </row>
    <row r="617" ht="15.75" customHeight="1">
      <c r="Q617" s="105"/>
      <c r="R617" s="105"/>
      <c r="S617" s="105"/>
      <c r="T617" s="105"/>
      <c r="U617" s="105"/>
    </row>
    <row r="618" ht="15.75" customHeight="1">
      <c r="Q618" s="105"/>
      <c r="R618" s="105"/>
      <c r="S618" s="105"/>
      <c r="T618" s="105"/>
      <c r="U618" s="105"/>
    </row>
    <row r="619" ht="15.75" customHeight="1">
      <c r="Q619" s="105"/>
      <c r="R619" s="105"/>
      <c r="S619" s="105"/>
      <c r="T619" s="105"/>
      <c r="U619" s="105"/>
    </row>
    <row r="620" ht="15.75" customHeight="1">
      <c r="Q620" s="105"/>
      <c r="R620" s="105"/>
      <c r="S620" s="105"/>
      <c r="T620" s="105"/>
      <c r="U620" s="105"/>
    </row>
    <row r="621" ht="15.75" customHeight="1">
      <c r="Q621" s="105"/>
      <c r="R621" s="105"/>
      <c r="S621" s="105"/>
      <c r="T621" s="105"/>
      <c r="U621" s="105"/>
    </row>
    <row r="622" ht="15.75" customHeight="1">
      <c r="Q622" s="105"/>
      <c r="R622" s="105"/>
      <c r="S622" s="105"/>
      <c r="T622" s="105"/>
      <c r="U622" s="105"/>
    </row>
    <row r="623" ht="15.75" customHeight="1">
      <c r="Q623" s="105"/>
      <c r="R623" s="105"/>
      <c r="S623" s="105"/>
      <c r="T623" s="105"/>
      <c r="U623" s="105"/>
    </row>
    <row r="624" ht="15.75" customHeight="1">
      <c r="Q624" s="105"/>
      <c r="R624" s="105"/>
      <c r="S624" s="105"/>
      <c r="T624" s="105"/>
      <c r="U624" s="105"/>
    </row>
    <row r="625" ht="15.75" customHeight="1">
      <c r="Q625" s="105"/>
      <c r="R625" s="105"/>
      <c r="S625" s="105"/>
      <c r="T625" s="105"/>
      <c r="U625" s="105"/>
    </row>
    <row r="626" ht="15.75" customHeight="1">
      <c r="Q626" s="105"/>
      <c r="R626" s="105"/>
      <c r="S626" s="105"/>
      <c r="T626" s="105"/>
      <c r="U626" s="105"/>
    </row>
    <row r="627" ht="15.75" customHeight="1">
      <c r="Q627" s="105"/>
      <c r="R627" s="105"/>
      <c r="S627" s="105"/>
      <c r="T627" s="105"/>
      <c r="U627" s="105"/>
    </row>
    <row r="628" ht="15.75" customHeight="1">
      <c r="Q628" s="105"/>
      <c r="R628" s="105"/>
      <c r="S628" s="105"/>
      <c r="T628" s="105"/>
      <c r="U628" s="105"/>
    </row>
    <row r="629" ht="15.75" customHeight="1">
      <c r="Q629" s="105"/>
      <c r="R629" s="105"/>
      <c r="S629" s="105"/>
      <c r="T629" s="105"/>
      <c r="U629" s="105"/>
    </row>
    <row r="630" ht="15.75" customHeight="1">
      <c r="Q630" s="105"/>
      <c r="R630" s="105"/>
      <c r="S630" s="105"/>
      <c r="T630" s="105"/>
      <c r="U630" s="105"/>
    </row>
    <row r="631" ht="15.75" customHeight="1">
      <c r="Q631" s="105"/>
      <c r="R631" s="105"/>
      <c r="S631" s="105"/>
      <c r="T631" s="105"/>
      <c r="U631" s="105"/>
    </row>
    <row r="632" ht="15.75" customHeight="1">
      <c r="Q632" s="105"/>
      <c r="R632" s="105"/>
      <c r="S632" s="105"/>
      <c r="T632" s="105"/>
      <c r="U632" s="105"/>
    </row>
    <row r="633" ht="15.75" customHeight="1">
      <c r="Q633" s="105"/>
      <c r="R633" s="105"/>
      <c r="S633" s="105"/>
      <c r="T633" s="105"/>
      <c r="U633" s="105"/>
    </row>
    <row r="634" ht="15.75" customHeight="1">
      <c r="Q634" s="105"/>
      <c r="R634" s="105"/>
      <c r="S634" s="105"/>
      <c r="T634" s="105"/>
      <c r="U634" s="105"/>
    </row>
    <row r="635" ht="15.75" customHeight="1">
      <c r="Q635" s="105"/>
      <c r="R635" s="105"/>
      <c r="S635" s="105"/>
      <c r="T635" s="105"/>
      <c r="U635" s="105"/>
    </row>
    <row r="636" ht="15.75" customHeight="1">
      <c r="Q636" s="105"/>
      <c r="R636" s="105"/>
      <c r="S636" s="105"/>
      <c r="T636" s="105"/>
      <c r="U636" s="105"/>
    </row>
    <row r="637" ht="15.75" customHeight="1">
      <c r="Q637" s="105"/>
      <c r="R637" s="105"/>
      <c r="S637" s="105"/>
      <c r="T637" s="105"/>
      <c r="U637" s="105"/>
    </row>
    <row r="638" ht="15.75" customHeight="1">
      <c r="Q638" s="105"/>
      <c r="R638" s="105"/>
      <c r="S638" s="105"/>
      <c r="T638" s="105"/>
      <c r="U638" s="105"/>
    </row>
    <row r="639" ht="15.75" customHeight="1">
      <c r="Q639" s="105"/>
      <c r="R639" s="105"/>
      <c r="S639" s="105"/>
      <c r="T639" s="105"/>
      <c r="U639" s="105"/>
    </row>
    <row r="640" ht="15.75" customHeight="1">
      <c r="Q640" s="105"/>
      <c r="R640" s="105"/>
      <c r="S640" s="105"/>
      <c r="T640" s="105"/>
      <c r="U640" s="105"/>
    </row>
    <row r="641" ht="15.75" customHeight="1">
      <c r="Q641" s="105"/>
      <c r="R641" s="105"/>
      <c r="S641" s="105"/>
      <c r="T641" s="105"/>
      <c r="U641" s="105"/>
    </row>
    <row r="642" ht="15.75" customHeight="1">
      <c r="Q642" s="105"/>
      <c r="R642" s="105"/>
      <c r="S642" s="105"/>
      <c r="T642" s="105"/>
      <c r="U642" s="105"/>
    </row>
    <row r="643" ht="15.75" customHeight="1">
      <c r="Q643" s="105"/>
      <c r="R643" s="105"/>
      <c r="S643" s="105"/>
      <c r="T643" s="105"/>
      <c r="U643" s="105"/>
    </row>
    <row r="644" ht="15.75" customHeight="1">
      <c r="Q644" s="105"/>
      <c r="R644" s="105"/>
      <c r="S644" s="105"/>
      <c r="T644" s="105"/>
      <c r="U644" s="105"/>
    </row>
    <row r="645" ht="15.75" customHeight="1">
      <c r="Q645" s="105"/>
      <c r="R645" s="105"/>
      <c r="S645" s="105"/>
      <c r="T645" s="105"/>
      <c r="U645" s="105"/>
    </row>
    <row r="646" ht="15.75" customHeight="1">
      <c r="Q646" s="105"/>
      <c r="R646" s="105"/>
      <c r="S646" s="105"/>
      <c r="T646" s="105"/>
      <c r="U646" s="105"/>
    </row>
    <row r="647" ht="15.75" customHeight="1">
      <c r="Q647" s="105"/>
      <c r="R647" s="105"/>
      <c r="S647" s="105"/>
      <c r="T647" s="105"/>
      <c r="U647" s="105"/>
    </row>
    <row r="648" ht="15.75" customHeight="1">
      <c r="Q648" s="105"/>
      <c r="R648" s="105"/>
      <c r="S648" s="105"/>
      <c r="T648" s="105"/>
      <c r="U648" s="105"/>
    </row>
    <row r="649" ht="15.75" customHeight="1">
      <c r="Q649" s="105"/>
      <c r="R649" s="105"/>
      <c r="S649" s="105"/>
      <c r="T649" s="105"/>
      <c r="U649" s="105"/>
    </row>
    <row r="650" ht="15.75" customHeight="1">
      <c r="Q650" s="105"/>
      <c r="R650" s="105"/>
      <c r="S650" s="105"/>
      <c r="T650" s="105"/>
      <c r="U650" s="105"/>
    </row>
    <row r="651" ht="15.75" customHeight="1">
      <c r="Q651" s="105"/>
      <c r="R651" s="105"/>
      <c r="S651" s="105"/>
      <c r="T651" s="105"/>
      <c r="U651" s="105"/>
    </row>
    <row r="652" ht="15.75" customHeight="1">
      <c r="Q652" s="105"/>
      <c r="R652" s="105"/>
      <c r="S652" s="105"/>
      <c r="T652" s="105"/>
      <c r="U652" s="105"/>
    </row>
    <row r="653" ht="15.75" customHeight="1">
      <c r="Q653" s="105"/>
      <c r="R653" s="105"/>
      <c r="S653" s="105"/>
      <c r="T653" s="105"/>
      <c r="U653" s="105"/>
    </row>
    <row r="654" ht="15.75" customHeight="1">
      <c r="Q654" s="105"/>
      <c r="R654" s="105"/>
      <c r="S654" s="105"/>
      <c r="T654" s="105"/>
      <c r="U654" s="105"/>
    </row>
    <row r="655" ht="15.75" customHeight="1">
      <c r="Q655" s="105"/>
      <c r="R655" s="105"/>
      <c r="S655" s="105"/>
      <c r="T655" s="105"/>
      <c r="U655" s="105"/>
    </row>
    <row r="656" ht="15.75" customHeight="1">
      <c r="Q656" s="105"/>
      <c r="R656" s="105"/>
      <c r="S656" s="105"/>
      <c r="T656" s="105"/>
      <c r="U656" s="105"/>
    </row>
    <row r="657" ht="15.75" customHeight="1">
      <c r="Q657" s="105"/>
      <c r="R657" s="105"/>
      <c r="S657" s="105"/>
      <c r="T657" s="105"/>
      <c r="U657" s="105"/>
    </row>
    <row r="658" ht="15.75" customHeight="1">
      <c r="Q658" s="105"/>
      <c r="R658" s="105"/>
      <c r="S658" s="105"/>
      <c r="T658" s="105"/>
      <c r="U658" s="105"/>
    </row>
    <row r="659" ht="15.75" customHeight="1">
      <c r="Q659" s="105"/>
      <c r="R659" s="105"/>
      <c r="S659" s="105"/>
      <c r="T659" s="105"/>
      <c r="U659" s="105"/>
    </row>
    <row r="660" ht="15.75" customHeight="1">
      <c r="Q660" s="105"/>
      <c r="R660" s="105"/>
      <c r="S660" s="105"/>
      <c r="T660" s="105"/>
      <c r="U660" s="105"/>
    </row>
    <row r="661" ht="15.75" customHeight="1">
      <c r="Q661" s="105"/>
      <c r="R661" s="105"/>
      <c r="S661" s="105"/>
      <c r="T661" s="105"/>
      <c r="U661" s="105"/>
    </row>
    <row r="662" ht="15.75" customHeight="1">
      <c r="Q662" s="105"/>
      <c r="R662" s="105"/>
      <c r="S662" s="105"/>
      <c r="T662" s="105"/>
      <c r="U662" s="105"/>
    </row>
    <row r="663" ht="15.75" customHeight="1">
      <c r="Q663" s="105"/>
      <c r="R663" s="105"/>
      <c r="S663" s="105"/>
      <c r="T663" s="105"/>
      <c r="U663" s="105"/>
    </row>
    <row r="664" ht="15.75" customHeight="1">
      <c r="Q664" s="105"/>
      <c r="R664" s="105"/>
      <c r="S664" s="105"/>
      <c r="T664" s="105"/>
      <c r="U664" s="105"/>
    </row>
    <row r="665" ht="15.75" customHeight="1">
      <c r="Q665" s="105"/>
      <c r="R665" s="105"/>
      <c r="S665" s="105"/>
      <c r="T665" s="105"/>
      <c r="U665" s="105"/>
    </row>
    <row r="666" ht="15.75" customHeight="1">
      <c r="Q666" s="105"/>
      <c r="R666" s="105"/>
      <c r="S666" s="105"/>
      <c r="T666" s="105"/>
      <c r="U666" s="105"/>
    </row>
    <row r="667" ht="15.75" customHeight="1">
      <c r="Q667" s="105"/>
      <c r="R667" s="105"/>
      <c r="S667" s="105"/>
      <c r="T667" s="105"/>
      <c r="U667" s="105"/>
    </row>
    <row r="668" ht="15.75" customHeight="1">
      <c r="Q668" s="105"/>
      <c r="R668" s="105"/>
      <c r="S668" s="105"/>
      <c r="T668" s="105"/>
      <c r="U668" s="105"/>
    </row>
    <row r="669" ht="15.75" customHeight="1">
      <c r="Q669" s="105"/>
      <c r="R669" s="105"/>
      <c r="S669" s="105"/>
      <c r="T669" s="105"/>
      <c r="U669" s="105"/>
    </row>
    <row r="670" ht="15.75" customHeight="1">
      <c r="Q670" s="105"/>
      <c r="R670" s="105"/>
      <c r="S670" s="105"/>
      <c r="T670" s="105"/>
      <c r="U670" s="105"/>
    </row>
    <row r="671" ht="15.75" customHeight="1">
      <c r="Q671" s="105"/>
      <c r="R671" s="105"/>
      <c r="S671" s="105"/>
      <c r="T671" s="105"/>
      <c r="U671" s="105"/>
    </row>
    <row r="672" ht="15.75" customHeight="1">
      <c r="Q672" s="105"/>
      <c r="R672" s="105"/>
      <c r="S672" s="105"/>
      <c r="T672" s="105"/>
      <c r="U672" s="105"/>
    </row>
    <row r="673" ht="15.75" customHeight="1">
      <c r="Q673" s="105"/>
      <c r="R673" s="105"/>
      <c r="S673" s="105"/>
      <c r="T673" s="105"/>
      <c r="U673" s="105"/>
    </row>
    <row r="674" ht="15.75" customHeight="1">
      <c r="Q674" s="105"/>
      <c r="R674" s="105"/>
      <c r="S674" s="105"/>
      <c r="T674" s="105"/>
      <c r="U674" s="105"/>
    </row>
    <row r="675" ht="15.75" customHeight="1">
      <c r="Q675" s="105"/>
      <c r="R675" s="105"/>
      <c r="S675" s="105"/>
      <c r="T675" s="105"/>
      <c r="U675" s="105"/>
    </row>
    <row r="676" ht="15.75" customHeight="1">
      <c r="Q676" s="105"/>
      <c r="R676" s="105"/>
      <c r="S676" s="105"/>
      <c r="T676" s="105"/>
      <c r="U676" s="105"/>
    </row>
    <row r="677" ht="15.75" customHeight="1">
      <c r="Q677" s="105"/>
      <c r="R677" s="105"/>
      <c r="S677" s="105"/>
      <c r="T677" s="105"/>
      <c r="U677" s="105"/>
    </row>
    <row r="678" ht="15.75" customHeight="1">
      <c r="Q678" s="105"/>
      <c r="R678" s="105"/>
      <c r="S678" s="105"/>
      <c r="T678" s="105"/>
      <c r="U678" s="105"/>
    </row>
    <row r="679" ht="15.75" customHeight="1">
      <c r="Q679" s="105"/>
      <c r="R679" s="105"/>
      <c r="S679" s="105"/>
      <c r="T679" s="105"/>
      <c r="U679" s="105"/>
    </row>
    <row r="680" ht="15.75" customHeight="1">
      <c r="Q680" s="105"/>
      <c r="R680" s="105"/>
      <c r="S680" s="105"/>
      <c r="T680" s="105"/>
      <c r="U680" s="105"/>
    </row>
    <row r="681" ht="15.75" customHeight="1">
      <c r="Q681" s="105"/>
      <c r="R681" s="105"/>
      <c r="S681" s="105"/>
      <c r="T681" s="105"/>
      <c r="U681" s="105"/>
    </row>
    <row r="682" ht="15.75" customHeight="1">
      <c r="Q682" s="105"/>
      <c r="R682" s="105"/>
      <c r="S682" s="105"/>
      <c r="T682" s="105"/>
      <c r="U682" s="105"/>
    </row>
    <row r="683" ht="15.75" customHeight="1">
      <c r="Q683" s="105"/>
      <c r="R683" s="105"/>
      <c r="S683" s="105"/>
      <c r="T683" s="105"/>
      <c r="U683" s="105"/>
    </row>
    <row r="684" ht="15.75" customHeight="1">
      <c r="Q684" s="105"/>
      <c r="R684" s="105"/>
      <c r="S684" s="105"/>
      <c r="T684" s="105"/>
      <c r="U684" s="105"/>
    </row>
    <row r="685" ht="15.75" customHeight="1">
      <c r="Q685" s="105"/>
      <c r="R685" s="105"/>
      <c r="S685" s="105"/>
      <c r="T685" s="105"/>
      <c r="U685" s="105"/>
    </row>
    <row r="686" ht="15.75" customHeight="1">
      <c r="Q686" s="105"/>
      <c r="R686" s="105"/>
      <c r="S686" s="105"/>
      <c r="T686" s="105"/>
      <c r="U686" s="105"/>
    </row>
    <row r="687" ht="15.75" customHeight="1">
      <c r="Q687" s="105"/>
      <c r="R687" s="105"/>
      <c r="S687" s="105"/>
      <c r="T687" s="105"/>
      <c r="U687" s="105"/>
    </row>
    <row r="688" ht="15.75" customHeight="1">
      <c r="Q688" s="105"/>
      <c r="R688" s="105"/>
      <c r="S688" s="105"/>
      <c r="T688" s="105"/>
      <c r="U688" s="105"/>
    </row>
    <row r="689" ht="15.75" customHeight="1">
      <c r="Q689" s="105"/>
      <c r="R689" s="105"/>
      <c r="S689" s="105"/>
      <c r="T689" s="105"/>
      <c r="U689" s="105"/>
    </row>
    <row r="690" ht="15.75" customHeight="1">
      <c r="Q690" s="105"/>
      <c r="R690" s="105"/>
      <c r="S690" s="105"/>
      <c r="T690" s="105"/>
      <c r="U690" s="105"/>
    </row>
    <row r="691" ht="15.75" customHeight="1">
      <c r="Q691" s="105"/>
      <c r="R691" s="105"/>
      <c r="S691" s="105"/>
      <c r="T691" s="105"/>
      <c r="U691" s="105"/>
    </row>
    <row r="692" ht="15.75" customHeight="1">
      <c r="Q692" s="105"/>
      <c r="R692" s="105"/>
      <c r="S692" s="105"/>
      <c r="T692" s="105"/>
      <c r="U692" s="105"/>
    </row>
    <row r="693" ht="15.75" customHeight="1">
      <c r="Q693" s="105"/>
      <c r="R693" s="105"/>
      <c r="S693" s="105"/>
      <c r="T693" s="105"/>
      <c r="U693" s="105"/>
    </row>
    <row r="694" ht="15.75" customHeight="1">
      <c r="Q694" s="105"/>
      <c r="R694" s="105"/>
      <c r="S694" s="105"/>
      <c r="T694" s="105"/>
      <c r="U694" s="105"/>
    </row>
    <row r="695" ht="15.75" customHeight="1">
      <c r="Q695" s="105"/>
      <c r="R695" s="105"/>
      <c r="S695" s="105"/>
      <c r="T695" s="105"/>
      <c r="U695" s="105"/>
    </row>
    <row r="696" ht="15.75" customHeight="1">
      <c r="Q696" s="105"/>
      <c r="R696" s="105"/>
      <c r="S696" s="105"/>
      <c r="T696" s="105"/>
      <c r="U696" s="105"/>
    </row>
    <row r="697" ht="15.75" customHeight="1">
      <c r="Q697" s="105"/>
      <c r="R697" s="105"/>
      <c r="S697" s="105"/>
      <c r="T697" s="105"/>
      <c r="U697" s="105"/>
    </row>
    <row r="698" ht="15.75" customHeight="1">
      <c r="Q698" s="105"/>
      <c r="R698" s="105"/>
      <c r="S698" s="105"/>
      <c r="T698" s="105"/>
      <c r="U698" s="105"/>
    </row>
    <row r="699" ht="15.75" customHeight="1">
      <c r="Q699" s="105"/>
      <c r="R699" s="105"/>
      <c r="S699" s="105"/>
      <c r="T699" s="105"/>
      <c r="U699" s="105"/>
    </row>
    <row r="700" ht="15.75" customHeight="1">
      <c r="Q700" s="105"/>
      <c r="R700" s="105"/>
      <c r="S700" s="105"/>
      <c r="T700" s="105"/>
      <c r="U700" s="105"/>
    </row>
    <row r="701" ht="15.75" customHeight="1">
      <c r="Q701" s="105"/>
      <c r="R701" s="105"/>
      <c r="S701" s="105"/>
      <c r="T701" s="105"/>
      <c r="U701" s="105"/>
    </row>
    <row r="702" ht="15.75" customHeight="1">
      <c r="Q702" s="105"/>
      <c r="R702" s="105"/>
      <c r="S702" s="105"/>
      <c r="T702" s="105"/>
      <c r="U702" s="105"/>
    </row>
    <row r="703" ht="15.75" customHeight="1">
      <c r="Q703" s="105"/>
      <c r="R703" s="105"/>
      <c r="S703" s="105"/>
      <c r="T703" s="105"/>
      <c r="U703" s="105"/>
    </row>
    <row r="704" ht="15.75" customHeight="1">
      <c r="Q704" s="105"/>
      <c r="R704" s="105"/>
      <c r="S704" s="105"/>
      <c r="T704" s="105"/>
      <c r="U704" s="105"/>
    </row>
    <row r="705" ht="15.75" customHeight="1">
      <c r="Q705" s="105"/>
      <c r="R705" s="105"/>
      <c r="S705" s="105"/>
      <c r="T705" s="105"/>
      <c r="U705" s="105"/>
    </row>
    <row r="706" ht="15.75" customHeight="1">
      <c r="Q706" s="105"/>
      <c r="R706" s="105"/>
      <c r="S706" s="105"/>
      <c r="T706" s="105"/>
      <c r="U706" s="105"/>
    </row>
    <row r="707" ht="15.75" customHeight="1">
      <c r="Q707" s="105"/>
      <c r="R707" s="105"/>
      <c r="S707" s="105"/>
      <c r="T707" s="105"/>
      <c r="U707" s="105"/>
    </row>
    <row r="708" ht="15.75" customHeight="1">
      <c r="Q708" s="105"/>
      <c r="R708" s="105"/>
      <c r="S708" s="105"/>
      <c r="T708" s="105"/>
      <c r="U708" s="105"/>
    </row>
    <row r="709" ht="15.75" customHeight="1">
      <c r="Q709" s="105"/>
      <c r="R709" s="105"/>
      <c r="S709" s="105"/>
      <c r="T709" s="105"/>
      <c r="U709" s="105"/>
    </row>
    <row r="710" ht="15.75" customHeight="1">
      <c r="Q710" s="105"/>
      <c r="R710" s="105"/>
      <c r="S710" s="105"/>
      <c r="T710" s="105"/>
      <c r="U710" s="105"/>
    </row>
    <row r="711" ht="15.75" customHeight="1">
      <c r="Q711" s="105"/>
      <c r="R711" s="105"/>
      <c r="S711" s="105"/>
      <c r="T711" s="105"/>
      <c r="U711" s="105"/>
    </row>
    <row r="712" ht="15.75" customHeight="1">
      <c r="Q712" s="105"/>
      <c r="R712" s="105"/>
      <c r="S712" s="105"/>
      <c r="T712" s="105"/>
      <c r="U712" s="105"/>
    </row>
    <row r="713" ht="15.75" customHeight="1">
      <c r="Q713" s="105"/>
      <c r="R713" s="105"/>
      <c r="S713" s="105"/>
      <c r="T713" s="105"/>
      <c r="U713" s="105"/>
    </row>
    <row r="714" ht="15.75" customHeight="1">
      <c r="Q714" s="105"/>
      <c r="R714" s="105"/>
      <c r="S714" s="105"/>
      <c r="T714" s="105"/>
      <c r="U714" s="105"/>
    </row>
    <row r="715" ht="15.75" customHeight="1">
      <c r="Q715" s="105"/>
      <c r="R715" s="105"/>
      <c r="S715" s="105"/>
      <c r="T715" s="105"/>
      <c r="U715" s="105"/>
    </row>
    <row r="716" ht="15.75" customHeight="1">
      <c r="Q716" s="105"/>
      <c r="R716" s="105"/>
      <c r="S716" s="105"/>
      <c r="T716" s="105"/>
      <c r="U716" s="105"/>
    </row>
    <row r="717" ht="15.75" customHeight="1">
      <c r="Q717" s="105"/>
      <c r="R717" s="105"/>
      <c r="S717" s="105"/>
      <c r="T717" s="105"/>
      <c r="U717" s="105"/>
    </row>
    <row r="718" ht="15.75" customHeight="1">
      <c r="Q718" s="105"/>
      <c r="R718" s="105"/>
      <c r="S718" s="105"/>
      <c r="T718" s="105"/>
      <c r="U718" s="105"/>
    </row>
    <row r="719" ht="15.75" customHeight="1">
      <c r="Q719" s="105"/>
      <c r="R719" s="105"/>
      <c r="S719" s="105"/>
      <c r="T719" s="105"/>
      <c r="U719" s="105"/>
    </row>
    <row r="720" ht="15.75" customHeight="1">
      <c r="Q720" s="105"/>
      <c r="R720" s="105"/>
      <c r="S720" s="105"/>
      <c r="T720" s="105"/>
      <c r="U720" s="105"/>
    </row>
    <row r="721" ht="15.75" customHeight="1">
      <c r="Q721" s="105"/>
      <c r="R721" s="105"/>
      <c r="S721" s="105"/>
      <c r="T721" s="105"/>
      <c r="U721" s="105"/>
    </row>
    <row r="722" ht="15.75" customHeight="1">
      <c r="Q722" s="105"/>
      <c r="R722" s="105"/>
      <c r="S722" s="105"/>
      <c r="T722" s="105"/>
      <c r="U722" s="105"/>
    </row>
    <row r="723" ht="15.75" customHeight="1">
      <c r="Q723" s="105"/>
      <c r="R723" s="105"/>
      <c r="S723" s="105"/>
      <c r="T723" s="105"/>
      <c r="U723" s="105"/>
    </row>
    <row r="724" ht="15.75" customHeight="1">
      <c r="Q724" s="105"/>
      <c r="R724" s="105"/>
      <c r="S724" s="105"/>
      <c r="T724" s="105"/>
      <c r="U724" s="105"/>
    </row>
    <row r="725" ht="15.75" customHeight="1">
      <c r="Q725" s="105"/>
      <c r="R725" s="105"/>
      <c r="S725" s="105"/>
      <c r="T725" s="105"/>
      <c r="U725" s="105"/>
    </row>
    <row r="726" ht="15.75" customHeight="1">
      <c r="Q726" s="105"/>
      <c r="R726" s="105"/>
      <c r="S726" s="105"/>
      <c r="T726" s="105"/>
      <c r="U726" s="105"/>
    </row>
    <row r="727" ht="15.75" customHeight="1">
      <c r="Q727" s="105"/>
      <c r="R727" s="105"/>
      <c r="S727" s="105"/>
      <c r="T727" s="105"/>
      <c r="U727" s="105"/>
    </row>
    <row r="728" ht="15.75" customHeight="1">
      <c r="Q728" s="105"/>
      <c r="R728" s="105"/>
      <c r="S728" s="105"/>
      <c r="T728" s="105"/>
      <c r="U728" s="105"/>
    </row>
    <row r="729" ht="15.75" customHeight="1">
      <c r="Q729" s="105"/>
      <c r="R729" s="105"/>
      <c r="S729" s="105"/>
      <c r="T729" s="105"/>
      <c r="U729" s="105"/>
    </row>
    <row r="730" ht="15.75" customHeight="1">
      <c r="Q730" s="105"/>
      <c r="R730" s="105"/>
      <c r="S730" s="105"/>
      <c r="T730" s="105"/>
      <c r="U730" s="105"/>
    </row>
    <row r="731" ht="15.75" customHeight="1">
      <c r="Q731" s="105"/>
      <c r="R731" s="105"/>
      <c r="S731" s="105"/>
      <c r="T731" s="105"/>
      <c r="U731" s="105"/>
    </row>
    <row r="732" ht="15.75" customHeight="1">
      <c r="Q732" s="105"/>
      <c r="R732" s="105"/>
      <c r="S732" s="105"/>
      <c r="T732" s="105"/>
      <c r="U732" s="105"/>
    </row>
    <row r="733" ht="15.75" customHeight="1">
      <c r="Q733" s="105"/>
      <c r="R733" s="105"/>
      <c r="S733" s="105"/>
      <c r="T733" s="105"/>
      <c r="U733" s="105"/>
    </row>
    <row r="734" ht="15.75" customHeight="1">
      <c r="Q734" s="105"/>
      <c r="R734" s="105"/>
      <c r="S734" s="105"/>
      <c r="T734" s="105"/>
      <c r="U734" s="105"/>
    </row>
    <row r="735" ht="15.75" customHeight="1">
      <c r="Q735" s="105"/>
      <c r="R735" s="105"/>
      <c r="S735" s="105"/>
      <c r="T735" s="105"/>
      <c r="U735" s="105"/>
    </row>
    <row r="736" ht="15.75" customHeight="1">
      <c r="Q736" s="105"/>
      <c r="R736" s="105"/>
      <c r="S736" s="105"/>
      <c r="T736" s="105"/>
      <c r="U736" s="105"/>
    </row>
    <row r="737" ht="15.75" customHeight="1">
      <c r="Q737" s="105"/>
      <c r="R737" s="105"/>
      <c r="S737" s="105"/>
      <c r="T737" s="105"/>
      <c r="U737" s="105"/>
    </row>
    <row r="738" ht="15.75" customHeight="1">
      <c r="Q738" s="105"/>
      <c r="R738" s="105"/>
      <c r="S738" s="105"/>
      <c r="T738" s="105"/>
      <c r="U738" s="105"/>
    </row>
    <row r="739" ht="15.75" customHeight="1">
      <c r="Q739" s="105"/>
      <c r="R739" s="105"/>
      <c r="S739" s="105"/>
      <c r="T739" s="105"/>
      <c r="U739" s="105"/>
    </row>
    <row r="740" ht="15.75" customHeight="1">
      <c r="Q740" s="105"/>
      <c r="R740" s="105"/>
      <c r="S740" s="105"/>
      <c r="T740" s="105"/>
      <c r="U740" s="105"/>
    </row>
    <row r="741" ht="15.75" customHeight="1">
      <c r="Q741" s="105"/>
      <c r="R741" s="105"/>
      <c r="S741" s="105"/>
      <c r="T741" s="105"/>
      <c r="U741" s="105"/>
    </row>
    <row r="742" ht="15.75" customHeight="1">
      <c r="Q742" s="105"/>
      <c r="R742" s="105"/>
      <c r="S742" s="105"/>
      <c r="T742" s="105"/>
      <c r="U742" s="105"/>
    </row>
    <row r="743" ht="15.75" customHeight="1">
      <c r="Q743" s="105"/>
      <c r="R743" s="105"/>
      <c r="S743" s="105"/>
      <c r="T743" s="105"/>
      <c r="U743" s="105"/>
    </row>
    <row r="744" ht="15.75" customHeight="1">
      <c r="Q744" s="105"/>
      <c r="R744" s="105"/>
      <c r="S744" s="105"/>
      <c r="T744" s="105"/>
      <c r="U744" s="105"/>
    </row>
    <row r="745" ht="15.75" customHeight="1">
      <c r="Q745" s="105"/>
      <c r="R745" s="105"/>
      <c r="S745" s="105"/>
      <c r="T745" s="105"/>
      <c r="U745" s="105"/>
    </row>
    <row r="746" ht="15.75" customHeight="1">
      <c r="Q746" s="105"/>
      <c r="R746" s="105"/>
      <c r="S746" s="105"/>
      <c r="T746" s="105"/>
      <c r="U746" s="105"/>
    </row>
    <row r="747" ht="15.75" customHeight="1">
      <c r="Q747" s="105"/>
      <c r="R747" s="105"/>
      <c r="S747" s="105"/>
      <c r="T747" s="105"/>
      <c r="U747" s="105"/>
    </row>
    <row r="748" ht="15.75" customHeight="1">
      <c r="Q748" s="105"/>
      <c r="R748" s="105"/>
      <c r="S748" s="105"/>
      <c r="T748" s="105"/>
      <c r="U748" s="105"/>
    </row>
    <row r="749" ht="15.75" customHeight="1">
      <c r="Q749" s="105"/>
      <c r="R749" s="105"/>
      <c r="S749" s="105"/>
      <c r="T749" s="105"/>
      <c r="U749" s="105"/>
    </row>
    <row r="750" ht="15.75" customHeight="1">
      <c r="Q750" s="105"/>
      <c r="R750" s="105"/>
      <c r="S750" s="105"/>
      <c r="T750" s="105"/>
      <c r="U750" s="105"/>
    </row>
    <row r="751" ht="15.75" customHeight="1">
      <c r="Q751" s="105"/>
      <c r="R751" s="105"/>
      <c r="S751" s="105"/>
      <c r="T751" s="105"/>
      <c r="U751" s="105"/>
    </row>
    <row r="752" ht="15.75" customHeight="1">
      <c r="Q752" s="105"/>
      <c r="R752" s="105"/>
      <c r="S752" s="105"/>
      <c r="T752" s="105"/>
      <c r="U752" s="105"/>
    </row>
    <row r="753" ht="15.75" customHeight="1">
      <c r="Q753" s="105"/>
      <c r="R753" s="105"/>
      <c r="S753" s="105"/>
      <c r="T753" s="105"/>
      <c r="U753" s="105"/>
    </row>
    <row r="754" ht="15.75" customHeight="1">
      <c r="Q754" s="105"/>
      <c r="R754" s="105"/>
      <c r="S754" s="105"/>
      <c r="T754" s="105"/>
      <c r="U754" s="105"/>
    </row>
    <row r="755" ht="15.75" customHeight="1">
      <c r="Q755" s="105"/>
      <c r="R755" s="105"/>
      <c r="S755" s="105"/>
      <c r="T755" s="105"/>
      <c r="U755" s="105"/>
    </row>
    <row r="756" ht="15.75" customHeight="1">
      <c r="Q756" s="105"/>
      <c r="R756" s="105"/>
      <c r="S756" s="105"/>
      <c r="T756" s="105"/>
      <c r="U756" s="105"/>
    </row>
    <row r="757" ht="15.75" customHeight="1">
      <c r="Q757" s="105"/>
      <c r="R757" s="105"/>
      <c r="S757" s="105"/>
      <c r="T757" s="105"/>
      <c r="U757" s="105"/>
    </row>
    <row r="758" ht="15.75" customHeight="1">
      <c r="Q758" s="105"/>
      <c r="R758" s="105"/>
      <c r="S758" s="105"/>
      <c r="T758" s="105"/>
      <c r="U758" s="105"/>
    </row>
    <row r="759" ht="15.75" customHeight="1">
      <c r="Q759" s="105"/>
      <c r="R759" s="105"/>
      <c r="S759" s="105"/>
      <c r="T759" s="105"/>
      <c r="U759" s="105"/>
    </row>
    <row r="760" ht="15.75" customHeight="1">
      <c r="Q760" s="105"/>
      <c r="R760" s="105"/>
      <c r="S760" s="105"/>
      <c r="T760" s="105"/>
      <c r="U760" s="105"/>
    </row>
    <row r="761" ht="15.75" customHeight="1">
      <c r="Q761" s="105"/>
      <c r="R761" s="105"/>
      <c r="S761" s="105"/>
      <c r="T761" s="105"/>
      <c r="U761" s="105"/>
    </row>
    <row r="762" ht="15.75" customHeight="1">
      <c r="Q762" s="105"/>
      <c r="R762" s="105"/>
      <c r="S762" s="105"/>
      <c r="T762" s="105"/>
      <c r="U762" s="105"/>
    </row>
    <row r="763" ht="15.75" customHeight="1">
      <c r="Q763" s="105"/>
      <c r="R763" s="105"/>
      <c r="S763" s="105"/>
      <c r="T763" s="105"/>
      <c r="U763" s="105"/>
    </row>
    <row r="764" ht="15.75" customHeight="1">
      <c r="Q764" s="105"/>
      <c r="R764" s="105"/>
      <c r="S764" s="105"/>
      <c r="T764" s="105"/>
      <c r="U764" s="105"/>
    </row>
    <row r="765" ht="15.75" customHeight="1">
      <c r="Q765" s="105"/>
      <c r="R765" s="105"/>
      <c r="S765" s="105"/>
      <c r="T765" s="105"/>
      <c r="U765" s="105"/>
    </row>
    <row r="766" ht="15.75" customHeight="1">
      <c r="Q766" s="105"/>
      <c r="R766" s="105"/>
      <c r="S766" s="105"/>
      <c r="T766" s="105"/>
      <c r="U766" s="105"/>
    </row>
    <row r="767" ht="15.75" customHeight="1">
      <c r="Q767" s="105"/>
      <c r="R767" s="105"/>
      <c r="S767" s="105"/>
      <c r="T767" s="105"/>
      <c r="U767" s="105"/>
    </row>
    <row r="768" ht="15.75" customHeight="1">
      <c r="Q768" s="105"/>
      <c r="R768" s="105"/>
      <c r="S768" s="105"/>
      <c r="T768" s="105"/>
      <c r="U768" s="105"/>
    </row>
    <row r="769" ht="15.75" customHeight="1">
      <c r="Q769" s="105"/>
      <c r="R769" s="105"/>
      <c r="S769" s="105"/>
      <c r="T769" s="105"/>
      <c r="U769" s="105"/>
    </row>
    <row r="770" ht="15.75" customHeight="1">
      <c r="Q770" s="105"/>
      <c r="R770" s="105"/>
      <c r="S770" s="105"/>
      <c r="T770" s="105"/>
      <c r="U770" s="105"/>
    </row>
    <row r="771" ht="15.75" customHeight="1">
      <c r="Q771" s="105"/>
      <c r="R771" s="105"/>
      <c r="S771" s="105"/>
      <c r="T771" s="105"/>
      <c r="U771" s="105"/>
    </row>
    <row r="772" ht="15.75" customHeight="1">
      <c r="Q772" s="105"/>
      <c r="R772" s="105"/>
      <c r="S772" s="105"/>
      <c r="T772" s="105"/>
      <c r="U772" s="105"/>
    </row>
    <row r="773" ht="15.75" customHeight="1">
      <c r="Q773" s="105"/>
      <c r="R773" s="105"/>
      <c r="S773" s="105"/>
      <c r="T773" s="105"/>
      <c r="U773" s="105"/>
    </row>
    <row r="774" ht="15.75" customHeight="1">
      <c r="Q774" s="105"/>
      <c r="R774" s="105"/>
      <c r="S774" s="105"/>
      <c r="T774" s="105"/>
      <c r="U774" s="105"/>
    </row>
    <row r="775" ht="15.75" customHeight="1">
      <c r="Q775" s="105"/>
      <c r="R775" s="105"/>
      <c r="S775" s="105"/>
      <c r="T775" s="105"/>
      <c r="U775" s="105"/>
    </row>
    <row r="776" ht="15.75" customHeight="1">
      <c r="Q776" s="105"/>
      <c r="R776" s="105"/>
      <c r="S776" s="105"/>
      <c r="T776" s="105"/>
      <c r="U776" s="105"/>
    </row>
    <row r="777" ht="15.75" customHeight="1">
      <c r="Q777" s="105"/>
      <c r="R777" s="105"/>
      <c r="S777" s="105"/>
      <c r="T777" s="105"/>
      <c r="U777" s="105"/>
    </row>
    <row r="778" ht="15.75" customHeight="1">
      <c r="Q778" s="105"/>
      <c r="R778" s="105"/>
      <c r="S778" s="105"/>
      <c r="T778" s="105"/>
      <c r="U778" s="105"/>
    </row>
    <row r="779" ht="15.75" customHeight="1">
      <c r="Q779" s="105"/>
      <c r="R779" s="105"/>
      <c r="S779" s="105"/>
      <c r="T779" s="105"/>
      <c r="U779" s="105"/>
    </row>
    <row r="780" ht="15.75" customHeight="1">
      <c r="Q780" s="105"/>
      <c r="R780" s="105"/>
      <c r="S780" s="105"/>
      <c r="T780" s="105"/>
      <c r="U780" s="105"/>
    </row>
    <row r="781" ht="15.75" customHeight="1">
      <c r="Q781" s="105"/>
      <c r="R781" s="105"/>
      <c r="S781" s="105"/>
      <c r="T781" s="105"/>
      <c r="U781" s="105"/>
    </row>
    <row r="782" ht="15.75" customHeight="1">
      <c r="Q782" s="105"/>
      <c r="R782" s="105"/>
      <c r="S782" s="105"/>
      <c r="T782" s="105"/>
      <c r="U782" s="105"/>
    </row>
    <row r="783" ht="15.75" customHeight="1">
      <c r="Q783" s="105"/>
      <c r="R783" s="105"/>
      <c r="S783" s="105"/>
      <c r="T783" s="105"/>
      <c r="U783" s="105"/>
    </row>
    <row r="784" ht="15.75" customHeight="1">
      <c r="Q784" s="105"/>
      <c r="R784" s="105"/>
      <c r="S784" s="105"/>
      <c r="T784" s="105"/>
      <c r="U784" s="105"/>
    </row>
    <row r="785" ht="15.75" customHeight="1">
      <c r="Q785" s="105"/>
      <c r="R785" s="105"/>
      <c r="S785" s="105"/>
      <c r="T785" s="105"/>
      <c r="U785" s="105"/>
    </row>
    <row r="786" ht="15.75" customHeight="1">
      <c r="Q786" s="105"/>
      <c r="R786" s="105"/>
      <c r="S786" s="105"/>
      <c r="T786" s="105"/>
      <c r="U786" s="105"/>
    </row>
    <row r="787" ht="15.75" customHeight="1">
      <c r="Q787" s="105"/>
      <c r="R787" s="105"/>
      <c r="S787" s="105"/>
      <c r="T787" s="105"/>
      <c r="U787" s="105"/>
    </row>
    <row r="788" ht="15.75" customHeight="1">
      <c r="Q788" s="105"/>
      <c r="R788" s="105"/>
      <c r="S788" s="105"/>
      <c r="T788" s="105"/>
      <c r="U788" s="105"/>
    </row>
    <row r="789" ht="15.75" customHeight="1">
      <c r="Q789" s="105"/>
      <c r="R789" s="105"/>
      <c r="S789" s="105"/>
      <c r="T789" s="105"/>
      <c r="U789" s="105"/>
    </row>
    <row r="790" ht="15.75" customHeight="1">
      <c r="Q790" s="105"/>
      <c r="R790" s="105"/>
      <c r="S790" s="105"/>
      <c r="T790" s="105"/>
      <c r="U790" s="105"/>
    </row>
    <row r="791" ht="15.75" customHeight="1">
      <c r="Q791" s="105"/>
      <c r="R791" s="105"/>
      <c r="S791" s="105"/>
      <c r="T791" s="105"/>
      <c r="U791" s="105"/>
    </row>
    <row r="792" ht="15.75" customHeight="1">
      <c r="Q792" s="105"/>
      <c r="R792" s="105"/>
      <c r="S792" s="105"/>
      <c r="T792" s="105"/>
      <c r="U792" s="105"/>
    </row>
    <row r="793" ht="15.75" customHeight="1">
      <c r="Q793" s="105"/>
      <c r="R793" s="105"/>
      <c r="S793" s="105"/>
      <c r="T793" s="105"/>
      <c r="U793" s="105"/>
    </row>
    <row r="794" ht="15.75" customHeight="1">
      <c r="Q794" s="105"/>
      <c r="R794" s="105"/>
      <c r="S794" s="105"/>
      <c r="T794" s="105"/>
      <c r="U794" s="105"/>
    </row>
    <row r="795" ht="15.75" customHeight="1">
      <c r="Q795" s="105"/>
      <c r="R795" s="105"/>
      <c r="S795" s="105"/>
      <c r="T795" s="105"/>
      <c r="U795" s="105"/>
    </row>
    <row r="796" ht="15.75" customHeight="1">
      <c r="Q796" s="105"/>
      <c r="R796" s="105"/>
      <c r="S796" s="105"/>
      <c r="T796" s="105"/>
      <c r="U796" s="105"/>
    </row>
    <row r="797" ht="15.75" customHeight="1">
      <c r="Q797" s="105"/>
      <c r="R797" s="105"/>
      <c r="S797" s="105"/>
      <c r="T797" s="105"/>
      <c r="U797" s="105"/>
    </row>
    <row r="798" ht="15.75" customHeight="1">
      <c r="Q798" s="105"/>
      <c r="R798" s="105"/>
      <c r="S798" s="105"/>
      <c r="T798" s="105"/>
      <c r="U798" s="105"/>
    </row>
    <row r="799" ht="15.75" customHeight="1">
      <c r="Q799" s="105"/>
      <c r="R799" s="105"/>
      <c r="S799" s="105"/>
      <c r="T799" s="105"/>
      <c r="U799" s="105"/>
    </row>
    <row r="800" ht="15.75" customHeight="1">
      <c r="Q800" s="105"/>
      <c r="R800" s="105"/>
      <c r="S800" s="105"/>
      <c r="T800" s="105"/>
      <c r="U800" s="105"/>
    </row>
    <row r="801" ht="15.75" customHeight="1">
      <c r="Q801" s="105"/>
      <c r="R801" s="105"/>
      <c r="S801" s="105"/>
      <c r="T801" s="105"/>
      <c r="U801" s="105"/>
    </row>
    <row r="802" ht="15.75" customHeight="1">
      <c r="Q802" s="105"/>
      <c r="R802" s="105"/>
      <c r="S802" s="105"/>
      <c r="T802" s="105"/>
      <c r="U802" s="105"/>
    </row>
    <row r="803" ht="15.75" customHeight="1">
      <c r="Q803" s="105"/>
      <c r="R803" s="105"/>
      <c r="S803" s="105"/>
      <c r="T803" s="105"/>
      <c r="U803" s="105"/>
    </row>
    <row r="804" ht="15.75" customHeight="1">
      <c r="Q804" s="105"/>
      <c r="R804" s="105"/>
      <c r="S804" s="105"/>
      <c r="T804" s="105"/>
      <c r="U804" s="105"/>
    </row>
    <row r="805" ht="15.75" customHeight="1">
      <c r="Q805" s="105"/>
      <c r="R805" s="105"/>
      <c r="S805" s="105"/>
      <c r="T805" s="105"/>
      <c r="U805" s="105"/>
    </row>
    <row r="806" ht="15.75" customHeight="1">
      <c r="Q806" s="105"/>
      <c r="R806" s="105"/>
      <c r="S806" s="105"/>
      <c r="T806" s="105"/>
      <c r="U806" s="105"/>
    </row>
    <row r="807" ht="15.75" customHeight="1">
      <c r="Q807" s="105"/>
      <c r="R807" s="105"/>
      <c r="S807" s="105"/>
      <c r="T807" s="105"/>
      <c r="U807" s="105"/>
    </row>
    <row r="808" ht="15.75" customHeight="1">
      <c r="Q808" s="105"/>
      <c r="R808" s="105"/>
      <c r="S808" s="105"/>
      <c r="T808" s="105"/>
      <c r="U808" s="105"/>
    </row>
    <row r="809" ht="15.75" customHeight="1">
      <c r="Q809" s="105"/>
      <c r="R809" s="105"/>
      <c r="S809" s="105"/>
      <c r="T809" s="105"/>
      <c r="U809" s="105"/>
    </row>
    <row r="810" ht="15.75" customHeight="1">
      <c r="Q810" s="105"/>
      <c r="R810" s="105"/>
      <c r="S810" s="105"/>
      <c r="T810" s="105"/>
      <c r="U810" s="105"/>
    </row>
    <row r="811" ht="15.75" customHeight="1">
      <c r="Q811" s="105"/>
      <c r="R811" s="105"/>
      <c r="S811" s="105"/>
      <c r="T811" s="105"/>
      <c r="U811" s="105"/>
    </row>
    <row r="812" ht="15.75" customHeight="1">
      <c r="Q812" s="105"/>
      <c r="R812" s="105"/>
      <c r="S812" s="105"/>
      <c r="T812" s="105"/>
      <c r="U812" s="105"/>
    </row>
    <row r="813" ht="15.75" customHeight="1">
      <c r="Q813" s="105"/>
      <c r="R813" s="105"/>
      <c r="S813" s="105"/>
      <c r="T813" s="105"/>
      <c r="U813" s="105"/>
    </row>
    <row r="814" ht="15.75" customHeight="1">
      <c r="Q814" s="105"/>
      <c r="R814" s="105"/>
      <c r="S814" s="105"/>
      <c r="T814" s="105"/>
      <c r="U814" s="105"/>
    </row>
    <row r="815" ht="15.75" customHeight="1">
      <c r="Q815" s="105"/>
      <c r="R815" s="105"/>
      <c r="S815" s="105"/>
      <c r="T815" s="105"/>
      <c r="U815" s="105"/>
    </row>
    <row r="816" ht="15.75" customHeight="1">
      <c r="Q816" s="105"/>
      <c r="R816" s="105"/>
      <c r="S816" s="105"/>
      <c r="T816" s="105"/>
      <c r="U816" s="105"/>
    </row>
    <row r="817" ht="15.75" customHeight="1">
      <c r="Q817" s="105"/>
      <c r="R817" s="105"/>
      <c r="S817" s="105"/>
      <c r="T817" s="105"/>
      <c r="U817" s="105"/>
    </row>
    <row r="818" ht="15.75" customHeight="1">
      <c r="Q818" s="105"/>
      <c r="R818" s="105"/>
      <c r="S818" s="105"/>
      <c r="T818" s="105"/>
      <c r="U818" s="105"/>
    </row>
    <row r="819" ht="15.75" customHeight="1">
      <c r="Q819" s="105"/>
      <c r="R819" s="105"/>
      <c r="S819" s="105"/>
      <c r="T819" s="105"/>
      <c r="U819" s="105"/>
    </row>
    <row r="820" ht="15.75" customHeight="1">
      <c r="Q820" s="105"/>
      <c r="R820" s="105"/>
      <c r="S820" s="105"/>
      <c r="T820" s="105"/>
      <c r="U820" s="105"/>
    </row>
    <row r="821" ht="15.75" customHeight="1">
      <c r="Q821" s="105"/>
      <c r="R821" s="105"/>
      <c r="S821" s="105"/>
      <c r="T821" s="105"/>
      <c r="U821" s="105"/>
    </row>
    <row r="822" ht="15.75" customHeight="1">
      <c r="Q822" s="105"/>
      <c r="R822" s="105"/>
      <c r="S822" s="105"/>
      <c r="T822" s="105"/>
      <c r="U822" s="105"/>
    </row>
    <row r="823" ht="15.75" customHeight="1">
      <c r="Q823" s="105"/>
      <c r="R823" s="105"/>
      <c r="S823" s="105"/>
      <c r="T823" s="105"/>
      <c r="U823" s="105"/>
    </row>
    <row r="824" ht="15.75" customHeight="1">
      <c r="Q824" s="105"/>
      <c r="R824" s="105"/>
      <c r="S824" s="105"/>
      <c r="T824" s="105"/>
      <c r="U824" s="105"/>
    </row>
    <row r="825" ht="15.75" customHeight="1">
      <c r="Q825" s="105"/>
      <c r="R825" s="105"/>
      <c r="S825" s="105"/>
      <c r="T825" s="105"/>
      <c r="U825" s="105"/>
    </row>
    <row r="826" ht="15.75" customHeight="1">
      <c r="Q826" s="105"/>
      <c r="R826" s="105"/>
      <c r="S826" s="105"/>
      <c r="T826" s="105"/>
      <c r="U826" s="105"/>
    </row>
    <row r="827" ht="15.75" customHeight="1">
      <c r="Q827" s="105"/>
      <c r="R827" s="105"/>
      <c r="S827" s="105"/>
      <c r="T827" s="105"/>
      <c r="U827" s="105"/>
    </row>
    <row r="828" ht="15.75" customHeight="1">
      <c r="Q828" s="105"/>
      <c r="R828" s="105"/>
      <c r="S828" s="105"/>
      <c r="T828" s="105"/>
      <c r="U828" s="105"/>
    </row>
    <row r="829" ht="15.75" customHeight="1">
      <c r="Q829" s="105"/>
      <c r="R829" s="105"/>
      <c r="S829" s="105"/>
      <c r="T829" s="105"/>
      <c r="U829" s="105"/>
    </row>
    <row r="830" ht="15.75" customHeight="1">
      <c r="Q830" s="105"/>
      <c r="R830" s="105"/>
      <c r="S830" s="105"/>
      <c r="T830" s="105"/>
      <c r="U830" s="105"/>
    </row>
    <row r="831" ht="15.75" customHeight="1">
      <c r="Q831" s="105"/>
      <c r="R831" s="105"/>
      <c r="S831" s="105"/>
      <c r="T831" s="105"/>
      <c r="U831" s="105"/>
    </row>
    <row r="832" ht="15.75" customHeight="1">
      <c r="Q832" s="105"/>
      <c r="R832" s="105"/>
      <c r="S832" s="105"/>
      <c r="T832" s="105"/>
      <c r="U832" s="105"/>
    </row>
    <row r="833" ht="15.75" customHeight="1">
      <c r="Q833" s="105"/>
      <c r="R833" s="105"/>
      <c r="S833" s="105"/>
      <c r="T833" s="105"/>
      <c r="U833" s="105"/>
    </row>
    <row r="834" ht="15.75" customHeight="1">
      <c r="Q834" s="105"/>
      <c r="R834" s="105"/>
      <c r="S834" s="105"/>
      <c r="T834" s="105"/>
      <c r="U834" s="105"/>
    </row>
    <row r="835" ht="15.75" customHeight="1">
      <c r="Q835" s="105"/>
      <c r="R835" s="105"/>
      <c r="S835" s="105"/>
      <c r="T835" s="105"/>
      <c r="U835" s="105"/>
    </row>
    <row r="836" ht="15.75" customHeight="1">
      <c r="Q836" s="105"/>
      <c r="R836" s="105"/>
      <c r="S836" s="105"/>
      <c r="T836" s="105"/>
      <c r="U836" s="105"/>
    </row>
    <row r="837" ht="15.75" customHeight="1">
      <c r="Q837" s="105"/>
      <c r="R837" s="105"/>
      <c r="S837" s="105"/>
      <c r="T837" s="105"/>
      <c r="U837" s="105"/>
    </row>
    <row r="838" ht="15.75" customHeight="1">
      <c r="Q838" s="105"/>
      <c r="R838" s="105"/>
      <c r="S838" s="105"/>
      <c r="T838" s="105"/>
      <c r="U838" s="105"/>
    </row>
    <row r="839" ht="15.75" customHeight="1">
      <c r="Q839" s="105"/>
      <c r="R839" s="105"/>
      <c r="S839" s="105"/>
      <c r="T839" s="105"/>
      <c r="U839" s="105"/>
    </row>
    <row r="840" ht="15.75" customHeight="1">
      <c r="Q840" s="105"/>
      <c r="R840" s="105"/>
      <c r="S840" s="105"/>
      <c r="T840" s="105"/>
      <c r="U840" s="105"/>
    </row>
    <row r="841" ht="15.75" customHeight="1">
      <c r="Q841" s="105"/>
      <c r="R841" s="105"/>
      <c r="S841" s="105"/>
      <c r="T841" s="105"/>
      <c r="U841" s="105"/>
    </row>
    <row r="842" ht="15.75" customHeight="1">
      <c r="Q842" s="105"/>
      <c r="R842" s="105"/>
      <c r="S842" s="105"/>
      <c r="T842" s="105"/>
      <c r="U842" s="105"/>
    </row>
    <row r="843" ht="15.75" customHeight="1">
      <c r="Q843" s="105"/>
      <c r="R843" s="105"/>
      <c r="S843" s="105"/>
      <c r="T843" s="105"/>
      <c r="U843" s="105"/>
    </row>
    <row r="844" ht="15.75" customHeight="1">
      <c r="Q844" s="105"/>
      <c r="R844" s="105"/>
      <c r="S844" s="105"/>
      <c r="T844" s="105"/>
      <c r="U844" s="105"/>
    </row>
    <row r="845" ht="15.75" customHeight="1">
      <c r="Q845" s="105"/>
      <c r="R845" s="105"/>
      <c r="S845" s="105"/>
      <c r="T845" s="105"/>
      <c r="U845" s="105"/>
    </row>
    <row r="846" ht="15.75" customHeight="1">
      <c r="Q846" s="105"/>
      <c r="R846" s="105"/>
      <c r="S846" s="105"/>
      <c r="T846" s="105"/>
      <c r="U846" s="105"/>
    </row>
    <row r="847" ht="15.75" customHeight="1">
      <c r="Q847" s="105"/>
      <c r="R847" s="105"/>
      <c r="S847" s="105"/>
      <c r="T847" s="105"/>
      <c r="U847" s="105"/>
    </row>
    <row r="848" ht="15.75" customHeight="1">
      <c r="Q848" s="105"/>
      <c r="R848" s="105"/>
      <c r="S848" s="105"/>
      <c r="T848" s="105"/>
      <c r="U848" s="105"/>
    </row>
    <row r="849" ht="15.75" customHeight="1">
      <c r="Q849" s="105"/>
      <c r="R849" s="105"/>
      <c r="S849" s="105"/>
      <c r="T849" s="105"/>
      <c r="U849" s="105"/>
    </row>
    <row r="850" ht="15.75" customHeight="1">
      <c r="Q850" s="105"/>
      <c r="R850" s="105"/>
      <c r="S850" s="105"/>
      <c r="T850" s="105"/>
      <c r="U850" s="105"/>
    </row>
    <row r="851" ht="15.75" customHeight="1">
      <c r="Q851" s="105"/>
      <c r="R851" s="105"/>
      <c r="S851" s="105"/>
      <c r="T851" s="105"/>
      <c r="U851" s="105"/>
    </row>
    <row r="852" ht="15.75" customHeight="1">
      <c r="Q852" s="105"/>
      <c r="R852" s="105"/>
      <c r="S852" s="105"/>
      <c r="T852" s="105"/>
      <c r="U852" s="105"/>
    </row>
    <row r="853" ht="15.75" customHeight="1">
      <c r="Q853" s="105"/>
      <c r="R853" s="105"/>
      <c r="S853" s="105"/>
      <c r="T853" s="105"/>
      <c r="U853" s="105"/>
    </row>
    <row r="854" ht="15.75" customHeight="1">
      <c r="Q854" s="105"/>
      <c r="R854" s="105"/>
      <c r="S854" s="105"/>
      <c r="T854" s="105"/>
      <c r="U854" s="105"/>
    </row>
    <row r="855" ht="15.75" customHeight="1">
      <c r="Q855" s="105"/>
      <c r="R855" s="105"/>
      <c r="S855" s="105"/>
      <c r="T855" s="105"/>
      <c r="U855" s="105"/>
    </row>
    <row r="856" ht="15.75" customHeight="1">
      <c r="Q856" s="105"/>
      <c r="R856" s="105"/>
      <c r="S856" s="105"/>
      <c r="T856" s="105"/>
      <c r="U856" s="105"/>
    </row>
    <row r="857" ht="15.75" customHeight="1">
      <c r="Q857" s="105"/>
      <c r="R857" s="105"/>
      <c r="S857" s="105"/>
      <c r="T857" s="105"/>
      <c r="U857" s="105"/>
    </row>
    <row r="858" ht="15.75" customHeight="1">
      <c r="Q858" s="105"/>
      <c r="R858" s="105"/>
      <c r="S858" s="105"/>
      <c r="T858" s="105"/>
      <c r="U858" s="105"/>
    </row>
    <row r="859" ht="15.75" customHeight="1">
      <c r="Q859" s="105"/>
      <c r="R859" s="105"/>
      <c r="S859" s="105"/>
      <c r="T859" s="105"/>
      <c r="U859" s="105"/>
    </row>
    <row r="860" ht="15.75" customHeight="1">
      <c r="Q860" s="105"/>
      <c r="R860" s="105"/>
      <c r="S860" s="105"/>
      <c r="T860" s="105"/>
      <c r="U860" s="105"/>
    </row>
    <row r="861" ht="15.75" customHeight="1">
      <c r="Q861" s="105"/>
      <c r="R861" s="105"/>
      <c r="S861" s="105"/>
      <c r="T861" s="105"/>
      <c r="U861" s="105"/>
    </row>
    <row r="862" ht="15.75" customHeight="1">
      <c r="Q862" s="105"/>
      <c r="R862" s="105"/>
      <c r="S862" s="105"/>
      <c r="T862" s="105"/>
      <c r="U862" s="105"/>
    </row>
    <row r="863" ht="15.75" customHeight="1">
      <c r="Q863" s="105"/>
      <c r="R863" s="105"/>
      <c r="S863" s="105"/>
      <c r="T863" s="105"/>
      <c r="U863" s="105"/>
    </row>
    <row r="864" ht="15.75" customHeight="1">
      <c r="Q864" s="105"/>
      <c r="R864" s="105"/>
      <c r="S864" s="105"/>
      <c r="T864" s="105"/>
      <c r="U864" s="105"/>
    </row>
    <row r="865" ht="15.75" customHeight="1">
      <c r="Q865" s="105"/>
      <c r="R865" s="105"/>
      <c r="S865" s="105"/>
      <c r="T865" s="105"/>
      <c r="U865" s="105"/>
    </row>
    <row r="866" ht="15.75" customHeight="1">
      <c r="Q866" s="105"/>
      <c r="R866" s="105"/>
      <c r="S866" s="105"/>
      <c r="T866" s="105"/>
      <c r="U866" s="105"/>
    </row>
    <row r="867" ht="15.75" customHeight="1">
      <c r="Q867" s="105"/>
      <c r="R867" s="105"/>
      <c r="S867" s="105"/>
      <c r="T867" s="105"/>
      <c r="U867" s="105"/>
    </row>
    <row r="868" ht="15.75" customHeight="1">
      <c r="Q868" s="105"/>
      <c r="R868" s="105"/>
      <c r="S868" s="105"/>
      <c r="T868" s="105"/>
      <c r="U868" s="105"/>
    </row>
    <row r="869" ht="15.75" customHeight="1">
      <c r="Q869" s="105"/>
      <c r="R869" s="105"/>
      <c r="S869" s="105"/>
      <c r="T869" s="105"/>
      <c r="U869" s="105"/>
    </row>
    <row r="870" ht="15.75" customHeight="1">
      <c r="Q870" s="105"/>
      <c r="R870" s="105"/>
      <c r="S870" s="105"/>
      <c r="T870" s="105"/>
      <c r="U870" s="105"/>
    </row>
    <row r="871" ht="15.75" customHeight="1">
      <c r="Q871" s="105"/>
      <c r="R871" s="105"/>
      <c r="S871" s="105"/>
      <c r="T871" s="105"/>
      <c r="U871" s="105"/>
    </row>
    <row r="872" ht="15.75" customHeight="1">
      <c r="Q872" s="105"/>
      <c r="R872" s="105"/>
      <c r="S872" s="105"/>
      <c r="T872" s="105"/>
      <c r="U872" s="105"/>
    </row>
    <row r="873" ht="15.75" customHeight="1">
      <c r="Q873" s="105"/>
      <c r="R873" s="105"/>
      <c r="S873" s="105"/>
      <c r="T873" s="105"/>
      <c r="U873" s="105"/>
    </row>
    <row r="874" ht="15.75" customHeight="1">
      <c r="Q874" s="105"/>
      <c r="R874" s="105"/>
      <c r="S874" s="105"/>
      <c r="T874" s="105"/>
      <c r="U874" s="105"/>
    </row>
    <row r="875" ht="15.75" customHeight="1">
      <c r="Q875" s="105"/>
      <c r="R875" s="105"/>
      <c r="S875" s="105"/>
      <c r="T875" s="105"/>
      <c r="U875" s="105"/>
    </row>
    <row r="876" ht="15.75" customHeight="1">
      <c r="Q876" s="105"/>
      <c r="R876" s="105"/>
      <c r="S876" s="105"/>
      <c r="T876" s="105"/>
      <c r="U876" s="105"/>
    </row>
    <row r="877" ht="15.75" customHeight="1">
      <c r="Q877" s="105"/>
      <c r="R877" s="105"/>
      <c r="S877" s="105"/>
      <c r="T877" s="105"/>
      <c r="U877" s="105"/>
    </row>
    <row r="878" ht="15.75" customHeight="1">
      <c r="Q878" s="105"/>
      <c r="R878" s="105"/>
      <c r="S878" s="105"/>
      <c r="T878" s="105"/>
      <c r="U878" s="105"/>
    </row>
    <row r="879" ht="15.75" customHeight="1">
      <c r="Q879" s="105"/>
      <c r="R879" s="105"/>
      <c r="S879" s="105"/>
      <c r="T879" s="105"/>
      <c r="U879" s="105"/>
    </row>
    <row r="880" ht="15.75" customHeight="1">
      <c r="Q880" s="105"/>
      <c r="R880" s="105"/>
      <c r="S880" s="105"/>
      <c r="T880" s="105"/>
      <c r="U880" s="105"/>
    </row>
    <row r="881" ht="15.75" customHeight="1">
      <c r="Q881" s="105"/>
      <c r="R881" s="105"/>
      <c r="S881" s="105"/>
      <c r="T881" s="105"/>
      <c r="U881" s="105"/>
    </row>
    <row r="882" ht="15.75" customHeight="1">
      <c r="Q882" s="105"/>
      <c r="R882" s="105"/>
      <c r="S882" s="105"/>
      <c r="T882" s="105"/>
      <c r="U882" s="105"/>
    </row>
    <row r="883" ht="15.75" customHeight="1">
      <c r="Q883" s="105"/>
      <c r="R883" s="105"/>
      <c r="S883" s="105"/>
      <c r="T883" s="105"/>
      <c r="U883" s="105"/>
    </row>
    <row r="884" ht="15.75" customHeight="1">
      <c r="Q884" s="105"/>
      <c r="R884" s="105"/>
      <c r="S884" s="105"/>
      <c r="T884" s="105"/>
      <c r="U884" s="105"/>
    </row>
    <row r="885" ht="15.75" customHeight="1">
      <c r="Q885" s="105"/>
      <c r="R885" s="105"/>
      <c r="S885" s="105"/>
      <c r="T885" s="105"/>
      <c r="U885" s="105"/>
    </row>
    <row r="886" ht="15.75" customHeight="1">
      <c r="Q886" s="105"/>
      <c r="R886" s="105"/>
      <c r="S886" s="105"/>
      <c r="T886" s="105"/>
      <c r="U886" s="105"/>
    </row>
    <row r="887" ht="15.75" customHeight="1">
      <c r="Q887" s="105"/>
      <c r="R887" s="105"/>
      <c r="S887" s="105"/>
      <c r="T887" s="105"/>
      <c r="U887" s="105"/>
    </row>
    <row r="888" ht="15.75" customHeight="1">
      <c r="Q888" s="105"/>
      <c r="R888" s="105"/>
      <c r="S888" s="105"/>
      <c r="T888" s="105"/>
      <c r="U888" s="105"/>
    </row>
    <row r="889" ht="15.75" customHeight="1">
      <c r="Q889" s="105"/>
      <c r="R889" s="105"/>
      <c r="S889" s="105"/>
      <c r="T889" s="105"/>
      <c r="U889" s="105"/>
    </row>
    <row r="890" ht="15.75" customHeight="1">
      <c r="Q890" s="105"/>
      <c r="R890" s="105"/>
      <c r="S890" s="105"/>
      <c r="T890" s="105"/>
      <c r="U890" s="105"/>
    </row>
    <row r="891" ht="15.75" customHeight="1">
      <c r="Q891" s="105"/>
      <c r="R891" s="105"/>
      <c r="S891" s="105"/>
      <c r="T891" s="105"/>
      <c r="U891" s="105"/>
    </row>
    <row r="892" ht="15.75" customHeight="1">
      <c r="Q892" s="105"/>
      <c r="R892" s="105"/>
      <c r="S892" s="105"/>
      <c r="T892" s="105"/>
      <c r="U892" s="105"/>
    </row>
    <row r="893" ht="15.75" customHeight="1">
      <c r="Q893" s="105"/>
      <c r="R893" s="105"/>
      <c r="S893" s="105"/>
      <c r="T893" s="105"/>
      <c r="U893" s="105"/>
    </row>
    <row r="894" ht="15.75" customHeight="1">
      <c r="Q894" s="105"/>
      <c r="R894" s="105"/>
      <c r="S894" s="105"/>
      <c r="T894" s="105"/>
      <c r="U894" s="105"/>
    </row>
    <row r="895" ht="15.75" customHeight="1">
      <c r="Q895" s="105"/>
      <c r="R895" s="105"/>
      <c r="S895" s="105"/>
      <c r="T895" s="105"/>
      <c r="U895" s="105"/>
    </row>
    <row r="896" ht="15.75" customHeight="1">
      <c r="Q896" s="105"/>
      <c r="R896" s="105"/>
      <c r="S896" s="105"/>
      <c r="T896" s="105"/>
      <c r="U896" s="105"/>
    </row>
    <row r="897" ht="15.75" customHeight="1">
      <c r="Q897" s="105"/>
      <c r="R897" s="105"/>
      <c r="S897" s="105"/>
      <c r="T897" s="105"/>
      <c r="U897" s="105"/>
    </row>
    <row r="898" ht="15.75" customHeight="1">
      <c r="Q898" s="105"/>
      <c r="R898" s="105"/>
      <c r="S898" s="105"/>
      <c r="T898" s="105"/>
      <c r="U898" s="105"/>
    </row>
    <row r="899" ht="15.75" customHeight="1">
      <c r="Q899" s="105"/>
      <c r="R899" s="105"/>
      <c r="S899" s="105"/>
      <c r="T899" s="105"/>
      <c r="U899" s="105"/>
    </row>
    <row r="900" ht="15.75" customHeight="1">
      <c r="Q900" s="105"/>
      <c r="R900" s="105"/>
      <c r="S900" s="105"/>
      <c r="T900" s="105"/>
      <c r="U900" s="105"/>
    </row>
    <row r="901" ht="15.75" customHeight="1">
      <c r="Q901" s="105"/>
      <c r="R901" s="105"/>
      <c r="S901" s="105"/>
      <c r="T901" s="105"/>
      <c r="U901" s="105"/>
    </row>
    <row r="902" ht="15.75" customHeight="1">
      <c r="Q902" s="105"/>
      <c r="R902" s="105"/>
      <c r="S902" s="105"/>
      <c r="T902" s="105"/>
      <c r="U902" s="105"/>
    </row>
    <row r="903" ht="15.75" customHeight="1">
      <c r="Q903" s="105"/>
      <c r="R903" s="105"/>
      <c r="S903" s="105"/>
      <c r="T903" s="105"/>
      <c r="U903" s="105"/>
    </row>
    <row r="904" ht="15.75" customHeight="1">
      <c r="Q904" s="105"/>
      <c r="R904" s="105"/>
      <c r="S904" s="105"/>
      <c r="T904" s="105"/>
      <c r="U904" s="105"/>
    </row>
    <row r="905" ht="15.75" customHeight="1">
      <c r="Q905" s="105"/>
      <c r="R905" s="105"/>
      <c r="S905" s="105"/>
      <c r="T905" s="105"/>
      <c r="U905" s="105"/>
    </row>
    <row r="906" ht="15.75" customHeight="1">
      <c r="Q906" s="105"/>
      <c r="R906" s="105"/>
      <c r="S906" s="105"/>
      <c r="T906" s="105"/>
      <c r="U906" s="105"/>
    </row>
    <row r="907" ht="15.75" customHeight="1">
      <c r="Q907" s="105"/>
      <c r="R907" s="105"/>
      <c r="S907" s="105"/>
      <c r="T907" s="105"/>
      <c r="U907" s="105"/>
    </row>
    <row r="908" ht="15.75" customHeight="1">
      <c r="Q908" s="105"/>
      <c r="R908" s="105"/>
      <c r="S908" s="105"/>
      <c r="T908" s="105"/>
      <c r="U908" s="105"/>
    </row>
    <row r="909" ht="15.75" customHeight="1">
      <c r="Q909" s="105"/>
      <c r="R909" s="105"/>
      <c r="S909" s="105"/>
      <c r="T909" s="105"/>
      <c r="U909" s="105"/>
    </row>
    <row r="910" ht="15.75" customHeight="1">
      <c r="Q910" s="105"/>
      <c r="R910" s="105"/>
      <c r="S910" s="105"/>
      <c r="T910" s="105"/>
      <c r="U910" s="105"/>
    </row>
    <row r="911" ht="15.75" customHeight="1">
      <c r="Q911" s="105"/>
      <c r="R911" s="105"/>
      <c r="S911" s="105"/>
      <c r="T911" s="105"/>
      <c r="U911" s="105"/>
    </row>
    <row r="912" ht="15.75" customHeight="1">
      <c r="Q912" s="105"/>
      <c r="R912" s="105"/>
      <c r="S912" s="105"/>
      <c r="T912" s="105"/>
      <c r="U912" s="105"/>
    </row>
    <row r="913" ht="15.75" customHeight="1">
      <c r="Q913" s="105"/>
      <c r="R913" s="105"/>
      <c r="S913" s="105"/>
      <c r="T913" s="105"/>
      <c r="U913" s="105"/>
    </row>
    <row r="914" ht="15.75" customHeight="1">
      <c r="Q914" s="105"/>
      <c r="R914" s="105"/>
      <c r="S914" s="105"/>
      <c r="T914" s="105"/>
      <c r="U914" s="105"/>
    </row>
    <row r="915" ht="15.75" customHeight="1">
      <c r="Q915" s="105"/>
      <c r="R915" s="105"/>
      <c r="S915" s="105"/>
      <c r="T915" s="105"/>
      <c r="U915" s="105"/>
    </row>
    <row r="916" ht="15.75" customHeight="1">
      <c r="Q916" s="105"/>
      <c r="R916" s="105"/>
      <c r="S916" s="105"/>
      <c r="T916" s="105"/>
      <c r="U916" s="105"/>
    </row>
    <row r="917" ht="15.75" customHeight="1">
      <c r="Q917" s="105"/>
      <c r="R917" s="105"/>
      <c r="S917" s="105"/>
      <c r="T917" s="105"/>
      <c r="U917" s="105"/>
    </row>
    <row r="918" ht="15.75" customHeight="1">
      <c r="Q918" s="105"/>
      <c r="R918" s="105"/>
      <c r="S918" s="105"/>
      <c r="T918" s="105"/>
      <c r="U918" s="105"/>
    </row>
    <row r="919" ht="15.75" customHeight="1">
      <c r="Q919" s="105"/>
      <c r="R919" s="105"/>
      <c r="S919" s="105"/>
      <c r="T919" s="105"/>
      <c r="U919" s="105"/>
    </row>
    <row r="920" ht="15.75" customHeight="1">
      <c r="Q920" s="105"/>
      <c r="R920" s="105"/>
      <c r="S920" s="105"/>
      <c r="T920" s="105"/>
      <c r="U920" s="105"/>
    </row>
  </sheetData>
  <mergeCells count="3">
    <mergeCell ref="A1:C1"/>
    <mergeCell ref="E1:G1"/>
    <mergeCell ref="I1:K1"/>
  </mergeCells>
  <conditionalFormatting sqref="Q1:U920">
    <cfRule type="cellIs" dxfId="0" priority="1" operator="lessThan">
      <formula>0</formula>
    </cfRule>
  </conditionalFormatting>
  <conditionalFormatting sqref="Q1:Q920">
    <cfRule type="cellIs" dxfId="1" priority="2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6" t="s">
        <v>223</v>
      </c>
      <c r="B1" s="106" t="s">
        <v>209</v>
      </c>
      <c r="C1" s="107" t="s">
        <v>210</v>
      </c>
      <c r="D1" s="107" t="s">
        <v>211</v>
      </c>
      <c r="E1" s="107" t="s">
        <v>212</v>
      </c>
    </row>
    <row r="2">
      <c r="A2" s="108">
        <v>45217.0</v>
      </c>
      <c r="B2" s="90">
        <v>5179.0</v>
      </c>
      <c r="C2" s="90">
        <v>0.0</v>
      </c>
      <c r="D2" s="90">
        <v>5179.0</v>
      </c>
      <c r="E2" s="90" t="str">
        <f t="shared" ref="E2:E106" si="1">D2-D1</f>
        <v>#VALUE!</v>
      </c>
    </row>
    <row r="3">
      <c r="A3" s="92">
        <v>45223.0</v>
      </c>
      <c r="B3" s="90">
        <v>5002.0</v>
      </c>
      <c r="C3" s="90">
        <v>17.0</v>
      </c>
      <c r="D3" s="90">
        <v>5019.0</v>
      </c>
      <c r="E3" s="90">
        <f t="shared" si="1"/>
        <v>-160</v>
      </c>
    </row>
    <row r="4">
      <c r="A4" s="92">
        <v>45229.0</v>
      </c>
      <c r="B4" s="90">
        <v>5031.0</v>
      </c>
      <c r="C4" s="90">
        <v>23.0</v>
      </c>
      <c r="D4" s="90">
        <v>5054.0</v>
      </c>
      <c r="E4" s="90">
        <f t="shared" si="1"/>
        <v>35</v>
      </c>
    </row>
    <row r="5">
      <c r="A5" s="92">
        <v>45231.0</v>
      </c>
      <c r="B5" s="90">
        <v>5082.5</v>
      </c>
      <c r="C5" s="90">
        <v>25.0</v>
      </c>
      <c r="D5" s="90">
        <v>5107.5</v>
      </c>
      <c r="E5" s="90">
        <f t="shared" si="1"/>
        <v>53.5</v>
      </c>
    </row>
    <row r="6">
      <c r="A6" s="92">
        <v>45234.0</v>
      </c>
      <c r="B6" s="90">
        <v>5046.0</v>
      </c>
      <c r="C6" s="90">
        <v>32.0</v>
      </c>
      <c r="D6" s="90">
        <v>5078.0</v>
      </c>
      <c r="E6" s="90">
        <f t="shared" si="1"/>
        <v>-29.5</v>
      </c>
    </row>
    <row r="7">
      <c r="A7" s="108">
        <v>45237.0</v>
      </c>
      <c r="B7" s="95">
        <v>5134.0</v>
      </c>
      <c r="C7" s="90">
        <v>33.0</v>
      </c>
      <c r="D7" s="90">
        <v>5167.0</v>
      </c>
      <c r="E7" s="90">
        <f t="shared" si="1"/>
        <v>89</v>
      </c>
    </row>
    <row r="8">
      <c r="A8" s="92">
        <v>45241.0</v>
      </c>
      <c r="B8" s="90">
        <v>5190.0</v>
      </c>
      <c r="C8" s="90">
        <v>42.0</v>
      </c>
      <c r="D8" s="90">
        <v>5232.0</v>
      </c>
      <c r="E8" s="90">
        <f t="shared" si="1"/>
        <v>65</v>
      </c>
    </row>
    <row r="9">
      <c r="A9" s="92">
        <v>45245.0</v>
      </c>
      <c r="B9" s="90">
        <v>5167.5</v>
      </c>
      <c r="C9" s="90">
        <v>34.0</v>
      </c>
      <c r="D9" s="90">
        <v>5201.5</v>
      </c>
      <c r="E9" s="90">
        <f t="shared" si="1"/>
        <v>-30.5</v>
      </c>
    </row>
    <row r="10">
      <c r="A10" s="92">
        <v>45247.0</v>
      </c>
      <c r="B10" s="90">
        <v>5200.5</v>
      </c>
      <c r="C10" s="90">
        <v>36.0</v>
      </c>
      <c r="D10" s="90">
        <v>5236.5</v>
      </c>
      <c r="E10" s="90">
        <f t="shared" si="1"/>
        <v>35</v>
      </c>
    </row>
    <row r="11">
      <c r="A11" s="92">
        <v>45249.0</v>
      </c>
      <c r="B11" s="95">
        <v>5133.0</v>
      </c>
      <c r="C11" s="90">
        <v>36.0</v>
      </c>
      <c r="D11" s="90">
        <v>5169.0</v>
      </c>
      <c r="E11" s="90">
        <f t="shared" si="1"/>
        <v>-67.5</v>
      </c>
    </row>
    <row r="12">
      <c r="A12" s="108">
        <v>45264.0</v>
      </c>
      <c r="B12" s="95">
        <v>5023.5</v>
      </c>
      <c r="C12" s="90">
        <v>44.0</v>
      </c>
      <c r="D12" s="90">
        <v>5067.5</v>
      </c>
      <c r="E12" s="90">
        <f t="shared" si="1"/>
        <v>-101.5</v>
      </c>
    </row>
    <row r="13">
      <c r="A13" s="92">
        <v>45270.0</v>
      </c>
      <c r="B13" s="95">
        <v>5030.0</v>
      </c>
      <c r="C13" s="90">
        <v>52.0</v>
      </c>
      <c r="D13" s="90">
        <v>5082.0</v>
      </c>
      <c r="E13" s="90">
        <f t="shared" si="1"/>
        <v>14.5</v>
      </c>
    </row>
    <row r="14">
      <c r="A14" s="92">
        <v>45276.0</v>
      </c>
      <c r="B14" s="90">
        <v>5080.3</v>
      </c>
      <c r="C14" s="90">
        <v>60.0</v>
      </c>
      <c r="D14" s="90">
        <v>5140.3</v>
      </c>
      <c r="E14" s="90">
        <f t="shared" si="1"/>
        <v>58.3</v>
      </c>
    </row>
    <row r="15">
      <c r="A15" s="92">
        <v>45280.0</v>
      </c>
      <c r="B15" s="90">
        <v>5182.41403</v>
      </c>
      <c r="C15" s="90">
        <v>60.0</v>
      </c>
      <c r="D15" s="90">
        <v>5242.41403</v>
      </c>
      <c r="E15" s="90">
        <f t="shared" si="1"/>
        <v>102.11403</v>
      </c>
    </row>
    <row r="16">
      <c r="A16" s="92">
        <v>45280.0</v>
      </c>
      <c r="B16" s="90">
        <v>5131.103</v>
      </c>
      <c r="C16" s="90">
        <v>60.0</v>
      </c>
      <c r="D16" s="90">
        <v>5191.103</v>
      </c>
      <c r="E16" s="90">
        <f t="shared" si="1"/>
        <v>-51.31103</v>
      </c>
    </row>
    <row r="17">
      <c r="A17" s="92">
        <v>45286.0</v>
      </c>
      <c r="B17" s="90">
        <v>5179.5</v>
      </c>
      <c r="C17" s="90">
        <v>53.0</v>
      </c>
      <c r="D17" s="90">
        <v>5232.5</v>
      </c>
      <c r="E17" s="90">
        <f t="shared" si="1"/>
        <v>41.397</v>
      </c>
    </row>
    <row r="18">
      <c r="A18" s="92">
        <v>45289.0</v>
      </c>
      <c r="B18" s="90">
        <v>5212.5</v>
      </c>
      <c r="C18" s="90">
        <v>70.0</v>
      </c>
      <c r="D18" s="90">
        <v>5282.5</v>
      </c>
      <c r="E18" s="90">
        <f t="shared" si="1"/>
        <v>50</v>
      </c>
    </row>
    <row r="19">
      <c r="A19" s="92">
        <v>45296.0</v>
      </c>
      <c r="B19" s="90">
        <v>5145.0</v>
      </c>
      <c r="C19" s="90">
        <v>77.0</v>
      </c>
      <c r="D19" s="90">
        <v>5222.0</v>
      </c>
      <c r="E19" s="90">
        <f t="shared" si="1"/>
        <v>-60.5</v>
      </c>
    </row>
    <row r="20">
      <c r="A20" s="92">
        <v>45303.0</v>
      </c>
      <c r="B20" s="95">
        <v>5130.0</v>
      </c>
      <c r="C20" s="90">
        <v>12.0</v>
      </c>
      <c r="D20" s="90">
        <v>5142.0</v>
      </c>
      <c r="E20" s="90">
        <f t="shared" si="1"/>
        <v>-80</v>
      </c>
    </row>
    <row r="21">
      <c r="A21" s="92">
        <v>45307.0</v>
      </c>
      <c r="B21" s="90">
        <v>5187.0</v>
      </c>
      <c r="C21" s="90">
        <v>16.0</v>
      </c>
      <c r="D21" s="90">
        <v>5203.0</v>
      </c>
      <c r="E21" s="90">
        <f t="shared" si="1"/>
        <v>61</v>
      </c>
    </row>
    <row r="22">
      <c r="A22" s="92">
        <v>45311.0</v>
      </c>
      <c r="B22" s="90">
        <v>5164.5</v>
      </c>
      <c r="C22" s="90">
        <v>20.0</v>
      </c>
      <c r="D22" s="90">
        <v>5184.5</v>
      </c>
      <c r="E22" s="90">
        <f t="shared" si="1"/>
        <v>-18.5</v>
      </c>
    </row>
    <row r="23">
      <c r="A23" s="92">
        <v>45313.0</v>
      </c>
      <c r="B23" s="90">
        <v>5197.5</v>
      </c>
      <c r="C23" s="90">
        <v>18.0</v>
      </c>
      <c r="D23" s="90">
        <v>5215.5</v>
      </c>
      <c r="E23" s="90">
        <f t="shared" si="1"/>
        <v>31</v>
      </c>
    </row>
    <row r="24">
      <c r="A24" s="92">
        <v>45319.0</v>
      </c>
      <c r="B24" s="90">
        <v>5147.5</v>
      </c>
      <c r="C24" s="90">
        <v>33.0</v>
      </c>
      <c r="D24" s="90">
        <v>5180.5</v>
      </c>
      <c r="E24" s="90">
        <f t="shared" si="1"/>
        <v>-35</v>
      </c>
    </row>
    <row r="25">
      <c r="A25" s="92">
        <v>45326.0</v>
      </c>
      <c r="B25" s="90">
        <v>5301.0</v>
      </c>
      <c r="C25" s="90">
        <v>49.0</v>
      </c>
      <c r="D25" s="90">
        <v>5350.0</v>
      </c>
      <c r="E25" s="90">
        <f t="shared" si="1"/>
        <v>169.5</v>
      </c>
    </row>
    <row r="26">
      <c r="A26" s="108">
        <v>45334.0</v>
      </c>
      <c r="B26" s="90">
        <v>5286.0</v>
      </c>
      <c r="C26" s="90">
        <v>52.0</v>
      </c>
      <c r="D26" s="90">
        <v>5338.0</v>
      </c>
      <c r="E26" s="90">
        <f t="shared" si="1"/>
        <v>-12</v>
      </c>
    </row>
    <row r="27">
      <c r="A27" s="92">
        <v>45340.0</v>
      </c>
      <c r="B27" s="90">
        <v>5183.5</v>
      </c>
      <c r="C27" s="90">
        <v>58.0</v>
      </c>
      <c r="D27" s="90">
        <v>5241.5</v>
      </c>
      <c r="E27" s="90">
        <f t="shared" si="1"/>
        <v>-96.5</v>
      </c>
    </row>
    <row r="28">
      <c r="A28" s="92">
        <v>45346.0</v>
      </c>
      <c r="B28" s="90">
        <v>5143.5</v>
      </c>
      <c r="C28" s="90">
        <v>53.0</v>
      </c>
      <c r="D28" s="90">
        <v>5196.5</v>
      </c>
      <c r="E28" s="90">
        <f t="shared" si="1"/>
        <v>-45</v>
      </c>
    </row>
    <row r="29">
      <c r="A29" s="92">
        <v>45353.0</v>
      </c>
      <c r="B29" s="90">
        <v>4923.0</v>
      </c>
      <c r="C29" s="90">
        <v>40.0</v>
      </c>
      <c r="D29" s="90">
        <v>4963.0</v>
      </c>
      <c r="E29" s="90">
        <f t="shared" si="1"/>
        <v>-233.5</v>
      </c>
    </row>
    <row r="30">
      <c r="A30" s="92">
        <v>45355.0</v>
      </c>
      <c r="B30" s="90">
        <v>3154.0</v>
      </c>
      <c r="C30" s="90">
        <v>41.0</v>
      </c>
      <c r="D30" s="90">
        <v>3195.0</v>
      </c>
      <c r="E30" s="90">
        <f t="shared" si="1"/>
        <v>-1768</v>
      </c>
    </row>
    <row r="31">
      <c r="A31" s="92">
        <v>45356.0</v>
      </c>
      <c r="B31" s="90">
        <v>3186.0</v>
      </c>
      <c r="C31" s="90">
        <v>43.0</v>
      </c>
      <c r="D31" s="90">
        <v>3229.0</v>
      </c>
      <c r="E31" s="90">
        <f t="shared" si="1"/>
        <v>34</v>
      </c>
    </row>
    <row r="32">
      <c r="A32" s="92">
        <v>45360.0</v>
      </c>
      <c r="B32" s="90">
        <v>5246.0</v>
      </c>
      <c r="C32" s="90">
        <v>44.0</v>
      </c>
      <c r="D32" s="90">
        <v>5290.0</v>
      </c>
      <c r="E32" s="90">
        <f t="shared" si="1"/>
        <v>2061</v>
      </c>
    </row>
    <row r="33">
      <c r="A33" s="92">
        <v>45361.0</v>
      </c>
      <c r="B33" s="90">
        <v>5227.0</v>
      </c>
      <c r="C33" s="90">
        <v>44.0</v>
      </c>
      <c r="D33" s="90">
        <v>5271.0</v>
      </c>
      <c r="E33" s="90">
        <f t="shared" si="1"/>
        <v>-19</v>
      </c>
    </row>
    <row r="34">
      <c r="A34" s="92">
        <v>45367.0</v>
      </c>
      <c r="B34" s="90">
        <v>5095.0</v>
      </c>
      <c r="C34" s="90">
        <v>59.0</v>
      </c>
      <c r="D34" s="90">
        <v>5154.0</v>
      </c>
      <c r="E34" s="90">
        <f t="shared" si="1"/>
        <v>-117</v>
      </c>
    </row>
    <row r="35">
      <c r="A35" s="92">
        <v>45374.0</v>
      </c>
      <c r="B35" s="90">
        <v>5349.5</v>
      </c>
      <c r="C35" s="90">
        <v>60.0</v>
      </c>
      <c r="D35" s="90">
        <v>5409.5</v>
      </c>
      <c r="E35" s="90">
        <f t="shared" si="1"/>
        <v>255.5</v>
      </c>
    </row>
    <row r="36">
      <c r="A36" s="92">
        <v>45379.0</v>
      </c>
      <c r="B36" s="90">
        <v>5371.5</v>
      </c>
      <c r="C36" s="90">
        <v>77.0</v>
      </c>
      <c r="D36" s="90">
        <v>5448.5</v>
      </c>
      <c r="E36" s="90">
        <f t="shared" si="1"/>
        <v>39</v>
      </c>
    </row>
    <row r="37">
      <c r="A37" s="92">
        <v>45382.0</v>
      </c>
      <c r="B37" s="90">
        <v>5377.0</v>
      </c>
      <c r="C37" s="90">
        <v>85.0</v>
      </c>
      <c r="D37" s="90">
        <v>5462.0</v>
      </c>
      <c r="E37" s="90">
        <f t="shared" si="1"/>
        <v>13.5</v>
      </c>
    </row>
    <row r="38">
      <c r="A38" s="92">
        <v>45385.0</v>
      </c>
      <c r="B38" s="90">
        <v>5287.5</v>
      </c>
      <c r="C38" s="90">
        <v>92.0</v>
      </c>
      <c r="D38" s="90">
        <v>5379.5</v>
      </c>
      <c r="E38" s="90">
        <f t="shared" si="1"/>
        <v>-82.5</v>
      </c>
    </row>
    <row r="39">
      <c r="A39" s="92">
        <v>45391.0</v>
      </c>
      <c r="B39" s="90">
        <v>5280.5</v>
      </c>
      <c r="C39" s="90">
        <v>90.0</v>
      </c>
      <c r="D39" s="90">
        <v>5370.5</v>
      </c>
      <c r="E39" s="90">
        <f t="shared" si="1"/>
        <v>-9</v>
      </c>
    </row>
    <row r="40">
      <c r="A40" s="92">
        <v>45392.0</v>
      </c>
      <c r="B40" s="90">
        <v>5274.5</v>
      </c>
      <c r="C40" s="90">
        <v>104.0</v>
      </c>
      <c r="D40" s="90">
        <v>5378.5</v>
      </c>
      <c r="E40" s="90">
        <f t="shared" si="1"/>
        <v>8</v>
      </c>
    </row>
    <row r="41">
      <c r="A41" s="92">
        <v>45394.0</v>
      </c>
      <c r="B41" s="90">
        <v>5283.5</v>
      </c>
      <c r="C41" s="90">
        <v>104.0</v>
      </c>
      <c r="D41" s="90">
        <v>5387.5</v>
      </c>
      <c r="E41" s="90">
        <f t="shared" si="1"/>
        <v>9</v>
      </c>
    </row>
    <row r="42">
      <c r="A42" s="92">
        <v>45399.0</v>
      </c>
      <c r="B42" s="90">
        <v>5385.5</v>
      </c>
      <c r="C42" s="90">
        <v>113.0</v>
      </c>
      <c r="D42" s="90">
        <v>5498.5</v>
      </c>
      <c r="E42" s="90">
        <f t="shared" si="1"/>
        <v>111</v>
      </c>
    </row>
    <row r="43">
      <c r="A43" s="92">
        <v>45402.0</v>
      </c>
      <c r="B43" s="90">
        <v>5485.0</v>
      </c>
      <c r="C43" s="90">
        <v>84.0</v>
      </c>
      <c r="D43" s="90">
        <v>5569.0</v>
      </c>
      <c r="E43" s="90">
        <f t="shared" si="1"/>
        <v>70.5</v>
      </c>
    </row>
    <row r="44">
      <c r="A44" s="92">
        <v>45408.0</v>
      </c>
      <c r="B44" s="90">
        <v>5397.5</v>
      </c>
      <c r="C44" s="90">
        <v>94.0</v>
      </c>
      <c r="D44" s="90">
        <v>5491.5</v>
      </c>
      <c r="E44" s="90">
        <f t="shared" si="1"/>
        <v>-77.5</v>
      </c>
    </row>
    <row r="45">
      <c r="A45" s="92">
        <v>45410.0</v>
      </c>
      <c r="B45" s="95">
        <v>5416.0</v>
      </c>
      <c r="C45" s="90">
        <v>96.0</v>
      </c>
      <c r="D45" s="90">
        <v>5512.0</v>
      </c>
      <c r="E45" s="90">
        <f t="shared" si="1"/>
        <v>20.5</v>
      </c>
    </row>
    <row r="46">
      <c r="A46" s="92">
        <v>45411.0</v>
      </c>
      <c r="B46" s="95">
        <v>5405.0</v>
      </c>
      <c r="C46" s="90">
        <v>96.0</v>
      </c>
      <c r="D46" s="90">
        <v>5501.0</v>
      </c>
      <c r="E46" s="90">
        <f t="shared" si="1"/>
        <v>-11</v>
      </c>
    </row>
    <row r="47">
      <c r="A47" s="92">
        <v>45412.0</v>
      </c>
      <c r="B47" s="90">
        <v>5521.0</v>
      </c>
      <c r="C47" s="90">
        <v>98.0</v>
      </c>
      <c r="D47" s="90">
        <v>5619.0</v>
      </c>
      <c r="E47" s="90">
        <f t="shared" si="1"/>
        <v>118</v>
      </c>
    </row>
    <row r="48">
      <c r="A48" s="92">
        <v>45413.0</v>
      </c>
      <c r="B48" s="90">
        <v>5491.0</v>
      </c>
      <c r="C48" s="90">
        <v>99.0</v>
      </c>
      <c r="D48" s="90">
        <v>5590.0</v>
      </c>
      <c r="E48" s="90">
        <f t="shared" si="1"/>
        <v>-29</v>
      </c>
    </row>
    <row r="49">
      <c r="A49" s="92">
        <v>45415.0</v>
      </c>
      <c r="B49" s="90">
        <v>5516.0</v>
      </c>
      <c r="C49" s="90">
        <v>121.0</v>
      </c>
      <c r="D49" s="90">
        <v>5637.0</v>
      </c>
      <c r="E49" s="90">
        <f t="shared" si="1"/>
        <v>47</v>
      </c>
    </row>
    <row r="50">
      <c r="A50" s="92">
        <v>45416.0</v>
      </c>
      <c r="B50" s="90">
        <v>5578.0</v>
      </c>
      <c r="C50" s="90">
        <v>101.0</v>
      </c>
      <c r="D50" s="90">
        <v>5679.0</v>
      </c>
      <c r="E50" s="90">
        <f t="shared" si="1"/>
        <v>42</v>
      </c>
    </row>
    <row r="51">
      <c r="A51" s="92">
        <v>45418.0</v>
      </c>
      <c r="B51" s="95">
        <v>5477.0</v>
      </c>
      <c r="C51" s="90">
        <v>102.0</v>
      </c>
      <c r="D51" s="90">
        <v>5579.0</v>
      </c>
      <c r="E51" s="90">
        <f t="shared" si="1"/>
        <v>-100</v>
      </c>
    </row>
    <row r="52">
      <c r="A52" s="92">
        <v>45419.0</v>
      </c>
      <c r="B52" s="90">
        <v>5503.0</v>
      </c>
      <c r="C52" s="90">
        <v>102.0</v>
      </c>
      <c r="D52" s="90">
        <v>5605.0</v>
      </c>
      <c r="E52" s="90">
        <f t="shared" si="1"/>
        <v>26</v>
      </c>
    </row>
    <row r="53">
      <c r="A53" s="92">
        <v>45420.0</v>
      </c>
      <c r="B53" s="90">
        <v>5525.5</v>
      </c>
      <c r="C53" s="90">
        <v>103.0</v>
      </c>
      <c r="D53" s="90">
        <v>5628.5</v>
      </c>
      <c r="E53" s="90">
        <f t="shared" si="1"/>
        <v>23.5</v>
      </c>
    </row>
    <row r="54">
      <c r="A54" s="92">
        <v>45422.0</v>
      </c>
      <c r="B54" s="90">
        <v>5525.0</v>
      </c>
      <c r="C54" s="90">
        <v>105.0</v>
      </c>
      <c r="D54" s="90">
        <v>5630.0</v>
      </c>
      <c r="E54" s="90">
        <f t="shared" si="1"/>
        <v>1.5</v>
      </c>
    </row>
    <row r="55">
      <c r="A55" s="92">
        <v>45423.0</v>
      </c>
      <c r="B55" s="90">
        <v>5508.0</v>
      </c>
      <c r="C55" s="90">
        <v>106.0</v>
      </c>
      <c r="D55" s="90">
        <v>5614.0</v>
      </c>
      <c r="E55" s="90">
        <f t="shared" si="1"/>
        <v>-16</v>
      </c>
    </row>
    <row r="56">
      <c r="A56" s="92">
        <v>45424.0</v>
      </c>
      <c r="B56" s="95">
        <v>5513.0</v>
      </c>
      <c r="C56" s="90">
        <v>106.0</v>
      </c>
      <c r="D56" s="90">
        <v>5619.0</v>
      </c>
      <c r="E56" s="90">
        <f t="shared" si="1"/>
        <v>5</v>
      </c>
    </row>
    <row r="57">
      <c r="A57" s="92">
        <v>45425.0</v>
      </c>
      <c r="B57" s="95">
        <v>5550.0</v>
      </c>
      <c r="C57" s="90">
        <v>114.0</v>
      </c>
      <c r="D57" s="90">
        <v>5664.0</v>
      </c>
      <c r="E57" s="90">
        <f t="shared" si="1"/>
        <v>45</v>
      </c>
    </row>
    <row r="58">
      <c r="A58" s="92">
        <v>45426.0</v>
      </c>
      <c r="B58" s="90">
        <v>5608.0</v>
      </c>
      <c r="C58" s="90">
        <v>114.0</v>
      </c>
      <c r="D58" s="90">
        <v>5722.0</v>
      </c>
      <c r="E58" s="90">
        <f t="shared" si="1"/>
        <v>58</v>
      </c>
    </row>
    <row r="59">
      <c r="A59" s="92">
        <v>45427.0</v>
      </c>
      <c r="B59" s="90">
        <v>5603.0</v>
      </c>
      <c r="C59" s="90">
        <v>116.0</v>
      </c>
      <c r="D59" s="90">
        <v>5719.0</v>
      </c>
      <c r="E59" s="90">
        <f t="shared" si="1"/>
        <v>-3</v>
      </c>
    </row>
    <row r="60">
      <c r="A60" s="92">
        <v>45429.0</v>
      </c>
      <c r="B60" s="90">
        <v>5597.5</v>
      </c>
      <c r="C60" s="90">
        <v>116.0</v>
      </c>
      <c r="D60" s="90">
        <v>5713.5</v>
      </c>
      <c r="E60" s="90">
        <f t="shared" si="1"/>
        <v>-5.5</v>
      </c>
    </row>
    <row r="61">
      <c r="A61" s="92">
        <v>45430.0</v>
      </c>
      <c r="B61" s="90">
        <v>5599.5</v>
      </c>
      <c r="C61" s="90">
        <v>117.0</v>
      </c>
      <c r="D61" s="90">
        <v>5716.5</v>
      </c>
      <c r="E61" s="90">
        <f t="shared" si="1"/>
        <v>3</v>
      </c>
    </row>
    <row r="62">
      <c r="A62" s="92">
        <v>45431.0</v>
      </c>
      <c r="B62" s="95">
        <v>5611.0</v>
      </c>
      <c r="C62" s="90">
        <v>117.0</v>
      </c>
      <c r="D62" s="90">
        <v>5728.0</v>
      </c>
      <c r="E62" s="90">
        <f t="shared" si="1"/>
        <v>11.5</v>
      </c>
    </row>
    <row r="63">
      <c r="A63" s="92">
        <v>45432.0</v>
      </c>
      <c r="B63" s="90">
        <v>5610.0</v>
      </c>
      <c r="C63" s="90">
        <v>117.0</v>
      </c>
      <c r="D63" s="90">
        <v>5727.0</v>
      </c>
      <c r="E63" s="90">
        <f t="shared" si="1"/>
        <v>-1</v>
      </c>
    </row>
    <row r="64">
      <c r="A64" s="92">
        <v>45433.0</v>
      </c>
      <c r="B64" s="90">
        <v>5629.0</v>
      </c>
      <c r="C64" s="90">
        <v>118.0</v>
      </c>
      <c r="D64" s="90">
        <v>5747.0</v>
      </c>
      <c r="E64" s="90">
        <f t="shared" si="1"/>
        <v>20</v>
      </c>
    </row>
    <row r="65">
      <c r="A65" s="92">
        <v>45394.0</v>
      </c>
      <c r="B65" s="90">
        <v>5283.5</v>
      </c>
      <c r="C65" s="90">
        <v>104.0</v>
      </c>
      <c r="D65" s="90">
        <v>5387.5</v>
      </c>
      <c r="E65" s="90">
        <f t="shared" si="1"/>
        <v>-359.5</v>
      </c>
    </row>
    <row r="66">
      <c r="A66" s="92">
        <v>45399.0</v>
      </c>
      <c r="B66" s="90">
        <v>5385.5</v>
      </c>
      <c r="C66" s="90">
        <v>113.0</v>
      </c>
      <c r="D66" s="90">
        <v>5498.5</v>
      </c>
      <c r="E66" s="90">
        <f t="shared" si="1"/>
        <v>111</v>
      </c>
    </row>
    <row r="67">
      <c r="A67" s="92">
        <v>45402.0</v>
      </c>
      <c r="B67" s="90">
        <v>5485.0</v>
      </c>
      <c r="C67" s="90">
        <v>84.0</v>
      </c>
      <c r="D67" s="90">
        <v>5569.0</v>
      </c>
      <c r="E67" s="90">
        <f t="shared" si="1"/>
        <v>70.5</v>
      </c>
    </row>
    <row r="68">
      <c r="A68" s="92">
        <v>45408.0</v>
      </c>
      <c r="B68" s="90">
        <v>5397.5</v>
      </c>
      <c r="C68" s="90">
        <v>94.0</v>
      </c>
      <c r="D68" s="90">
        <v>5491.5</v>
      </c>
      <c r="E68" s="90">
        <f t="shared" si="1"/>
        <v>-77.5</v>
      </c>
    </row>
    <row r="69">
      <c r="A69" s="92">
        <v>45410.0</v>
      </c>
      <c r="B69" s="95">
        <v>5416.0</v>
      </c>
      <c r="C69" s="90">
        <v>96.0</v>
      </c>
      <c r="D69" s="90">
        <v>5512.0</v>
      </c>
      <c r="E69" s="90">
        <f t="shared" si="1"/>
        <v>20.5</v>
      </c>
    </row>
    <row r="70">
      <c r="A70" s="92">
        <v>45411.0</v>
      </c>
      <c r="B70" s="95">
        <v>5405.0</v>
      </c>
      <c r="C70" s="90">
        <v>96.0</v>
      </c>
      <c r="D70" s="90">
        <v>5501.0</v>
      </c>
      <c r="E70" s="90">
        <f t="shared" si="1"/>
        <v>-11</v>
      </c>
    </row>
    <row r="71">
      <c r="A71" s="92">
        <v>45412.0</v>
      </c>
      <c r="B71" s="90">
        <v>5521.0</v>
      </c>
      <c r="C71" s="90">
        <v>98.0</v>
      </c>
      <c r="D71" s="90">
        <v>5619.0</v>
      </c>
      <c r="E71" s="90">
        <f t="shared" si="1"/>
        <v>118</v>
      </c>
    </row>
    <row r="72">
      <c r="A72" s="92">
        <v>45413.0</v>
      </c>
      <c r="B72" s="90">
        <v>5491.0</v>
      </c>
      <c r="C72" s="90">
        <v>99.0</v>
      </c>
      <c r="D72" s="90">
        <v>5590.0</v>
      </c>
      <c r="E72" s="90">
        <f t="shared" si="1"/>
        <v>-29</v>
      </c>
    </row>
    <row r="73">
      <c r="A73" s="92">
        <v>45415.0</v>
      </c>
      <c r="B73" s="90">
        <v>5516.0</v>
      </c>
      <c r="C73" s="90">
        <v>121.0</v>
      </c>
      <c r="D73" s="90">
        <v>5637.0</v>
      </c>
      <c r="E73" s="90">
        <f t="shared" si="1"/>
        <v>47</v>
      </c>
    </row>
    <row r="74">
      <c r="A74" s="92">
        <v>45416.0</v>
      </c>
      <c r="B74" s="90">
        <v>5578.0</v>
      </c>
      <c r="C74" s="90">
        <v>101.0</v>
      </c>
      <c r="D74" s="90">
        <v>5679.0</v>
      </c>
      <c r="E74" s="90">
        <f t="shared" si="1"/>
        <v>42</v>
      </c>
    </row>
    <row r="75">
      <c r="A75" s="92">
        <v>45418.0</v>
      </c>
      <c r="B75" s="95">
        <v>5477.0</v>
      </c>
      <c r="C75" s="90">
        <v>102.0</v>
      </c>
      <c r="D75" s="90">
        <v>5579.0</v>
      </c>
      <c r="E75" s="90">
        <f t="shared" si="1"/>
        <v>-100</v>
      </c>
    </row>
    <row r="76">
      <c r="A76" s="92">
        <v>45419.0</v>
      </c>
      <c r="B76" s="90">
        <v>5503.0</v>
      </c>
      <c r="C76" s="90">
        <v>102.0</v>
      </c>
      <c r="D76" s="90">
        <v>5605.0</v>
      </c>
      <c r="E76" s="90">
        <f t="shared" si="1"/>
        <v>26</v>
      </c>
    </row>
    <row r="77">
      <c r="A77" s="92">
        <v>45420.0</v>
      </c>
      <c r="B77" s="90">
        <v>5525.5</v>
      </c>
      <c r="C77" s="90">
        <v>103.0</v>
      </c>
      <c r="D77" s="90">
        <v>5628.5</v>
      </c>
      <c r="E77" s="90">
        <f t="shared" si="1"/>
        <v>23.5</v>
      </c>
    </row>
    <row r="78">
      <c r="A78" s="92">
        <v>45422.0</v>
      </c>
      <c r="B78" s="90">
        <v>5525.0</v>
      </c>
      <c r="C78" s="90">
        <v>105.0</v>
      </c>
      <c r="D78" s="90">
        <v>5630.0</v>
      </c>
      <c r="E78" s="90">
        <f t="shared" si="1"/>
        <v>1.5</v>
      </c>
    </row>
    <row r="79">
      <c r="A79" s="92">
        <v>45423.0</v>
      </c>
      <c r="B79" s="90">
        <v>5508.0</v>
      </c>
      <c r="C79" s="90">
        <v>106.0</v>
      </c>
      <c r="D79" s="90">
        <v>5614.0</v>
      </c>
      <c r="E79" s="90">
        <f t="shared" si="1"/>
        <v>-16</v>
      </c>
    </row>
    <row r="80">
      <c r="A80" s="92">
        <v>45424.0</v>
      </c>
      <c r="B80" s="95">
        <v>5513.0</v>
      </c>
      <c r="C80" s="90">
        <v>106.0</v>
      </c>
      <c r="D80" s="90">
        <v>5619.0</v>
      </c>
      <c r="E80" s="90">
        <f t="shared" si="1"/>
        <v>5</v>
      </c>
    </row>
    <row r="81">
      <c r="A81" s="92">
        <v>45425.0</v>
      </c>
      <c r="B81" s="95">
        <v>5550.0</v>
      </c>
      <c r="C81" s="90">
        <v>114.0</v>
      </c>
      <c r="D81" s="90">
        <v>5664.0</v>
      </c>
      <c r="E81" s="90">
        <f t="shared" si="1"/>
        <v>45</v>
      </c>
    </row>
    <row r="82">
      <c r="A82" s="92">
        <v>45426.0</v>
      </c>
      <c r="B82" s="90">
        <v>5608.0</v>
      </c>
      <c r="C82" s="90">
        <v>114.0</v>
      </c>
      <c r="D82" s="90">
        <v>5722.0</v>
      </c>
      <c r="E82" s="90">
        <f t="shared" si="1"/>
        <v>58</v>
      </c>
    </row>
    <row r="83">
      <c r="A83" s="92">
        <v>45427.0</v>
      </c>
      <c r="B83" s="90">
        <v>5603.0</v>
      </c>
      <c r="C83" s="90">
        <v>116.0</v>
      </c>
      <c r="D83" s="90">
        <v>5719.0</v>
      </c>
      <c r="E83" s="90">
        <f t="shared" si="1"/>
        <v>-3</v>
      </c>
    </row>
    <row r="84">
      <c r="A84" s="92">
        <v>45429.0</v>
      </c>
      <c r="B84" s="90">
        <v>5597.5</v>
      </c>
      <c r="C84" s="90">
        <v>116.0</v>
      </c>
      <c r="D84" s="90">
        <v>5713.5</v>
      </c>
      <c r="E84" s="90">
        <f t="shared" si="1"/>
        <v>-5.5</v>
      </c>
    </row>
    <row r="85">
      <c r="A85" s="92">
        <v>45430.0</v>
      </c>
      <c r="B85" s="90">
        <v>5599.5</v>
      </c>
      <c r="C85" s="90">
        <v>117.0</v>
      </c>
      <c r="D85" s="90">
        <v>5716.5</v>
      </c>
      <c r="E85" s="90">
        <f t="shared" si="1"/>
        <v>3</v>
      </c>
    </row>
    <row r="86">
      <c r="A86" s="92">
        <v>45431.0</v>
      </c>
      <c r="B86" s="95">
        <v>5611.0</v>
      </c>
      <c r="C86" s="90">
        <v>117.0</v>
      </c>
      <c r="D86" s="90">
        <v>5728.0</v>
      </c>
      <c r="E86" s="90">
        <f t="shared" si="1"/>
        <v>11.5</v>
      </c>
    </row>
    <row r="87">
      <c r="A87" s="92">
        <v>45432.0</v>
      </c>
      <c r="B87" s="90">
        <v>5610.0</v>
      </c>
      <c r="C87" s="90">
        <v>117.0</v>
      </c>
      <c r="D87" s="90">
        <v>5727.0</v>
      </c>
      <c r="E87" s="90">
        <f t="shared" si="1"/>
        <v>-1</v>
      </c>
    </row>
    <row r="88">
      <c r="A88" s="92">
        <v>45433.0</v>
      </c>
      <c r="B88" s="90">
        <v>5629.0</v>
      </c>
      <c r="C88" s="90">
        <v>118.0</v>
      </c>
      <c r="D88" s="90">
        <v>5747.0</v>
      </c>
      <c r="E88" s="90">
        <f t="shared" si="1"/>
        <v>20</v>
      </c>
    </row>
    <row r="89">
      <c r="A89" s="92">
        <v>45436.0</v>
      </c>
      <c r="B89" s="90">
        <v>5632.5</v>
      </c>
      <c r="C89" s="90">
        <v>119.0</v>
      </c>
      <c r="D89" s="90">
        <v>5751.5</v>
      </c>
      <c r="E89" s="90">
        <f t="shared" si="1"/>
        <v>4.5</v>
      </c>
    </row>
    <row r="90">
      <c r="A90" s="92">
        <v>45437.0</v>
      </c>
      <c r="B90" s="90">
        <v>5691.5</v>
      </c>
      <c r="C90" s="90">
        <v>119.0</v>
      </c>
      <c r="D90" s="90">
        <v>5810.5</v>
      </c>
      <c r="E90" s="90">
        <f t="shared" si="1"/>
        <v>59</v>
      </c>
    </row>
    <row r="91">
      <c r="A91" s="92">
        <v>45441.0</v>
      </c>
      <c r="B91" s="95">
        <v>5684.0</v>
      </c>
      <c r="C91" s="90">
        <v>150.0</v>
      </c>
      <c r="D91" s="90">
        <v>5834.0</v>
      </c>
      <c r="E91" s="90">
        <f t="shared" si="1"/>
        <v>23.5</v>
      </c>
    </row>
    <row r="92">
      <c r="A92" s="92">
        <v>45443.0</v>
      </c>
      <c r="B92" s="90">
        <v>5610.5</v>
      </c>
      <c r="C92" s="90">
        <v>150.0</v>
      </c>
      <c r="D92" s="90">
        <v>5760.5</v>
      </c>
      <c r="E92" s="90">
        <f t="shared" si="1"/>
        <v>-73.5</v>
      </c>
    </row>
    <row r="93">
      <c r="A93" s="92">
        <v>45450.0</v>
      </c>
      <c r="B93" s="90">
        <v>5466.0</v>
      </c>
      <c r="C93" s="90">
        <v>155.0</v>
      </c>
      <c r="D93" s="90">
        <v>5621.0</v>
      </c>
      <c r="E93" s="90">
        <f t="shared" si="1"/>
        <v>-139.5</v>
      </c>
    </row>
    <row r="94">
      <c r="A94" s="92">
        <v>45452.0</v>
      </c>
      <c r="B94" s="90">
        <v>5477.0</v>
      </c>
      <c r="C94" s="90">
        <v>155.0</v>
      </c>
      <c r="D94" s="90">
        <v>5632.0</v>
      </c>
      <c r="E94" s="90">
        <f t="shared" si="1"/>
        <v>11</v>
      </c>
    </row>
    <row r="95">
      <c r="A95" s="92">
        <v>45454.0</v>
      </c>
      <c r="B95" s="90">
        <v>5490.0</v>
      </c>
      <c r="C95" s="90">
        <v>155.0</v>
      </c>
      <c r="D95" s="90">
        <v>5645.0</v>
      </c>
      <c r="E95" s="90">
        <f t="shared" si="1"/>
        <v>13</v>
      </c>
    </row>
    <row r="96">
      <c r="A96" s="92">
        <v>45454.0</v>
      </c>
      <c r="B96" s="90">
        <v>5347.0</v>
      </c>
      <c r="C96" s="90">
        <v>155.0</v>
      </c>
      <c r="D96" s="90">
        <v>5502.0</v>
      </c>
      <c r="E96" s="90">
        <f t="shared" si="1"/>
        <v>-143</v>
      </c>
    </row>
    <row r="97">
      <c r="A97" s="92">
        <v>45458.0</v>
      </c>
      <c r="B97" s="95">
        <v>5401.0</v>
      </c>
      <c r="C97" s="90">
        <v>156.0</v>
      </c>
      <c r="D97" s="90">
        <v>5557.0</v>
      </c>
      <c r="E97" s="90">
        <f t="shared" si="1"/>
        <v>55</v>
      </c>
    </row>
    <row r="98">
      <c r="A98" s="92">
        <v>45472.0</v>
      </c>
      <c r="B98" s="90">
        <v>5451.5</v>
      </c>
      <c r="C98" s="90">
        <v>161.0</v>
      </c>
      <c r="D98" s="90">
        <v>5612.5</v>
      </c>
      <c r="E98" s="90">
        <f t="shared" si="1"/>
        <v>55.5</v>
      </c>
    </row>
    <row r="99">
      <c r="A99" s="92">
        <v>45472.0</v>
      </c>
      <c r="B99" s="90">
        <v>5451.5</v>
      </c>
      <c r="C99" s="90">
        <v>161.0</v>
      </c>
      <c r="D99" s="90">
        <f t="shared" ref="D99:D119" si="2">B99+C99</f>
        <v>5612.5</v>
      </c>
      <c r="E99" s="90">
        <f t="shared" si="1"/>
        <v>0</v>
      </c>
    </row>
    <row r="100">
      <c r="A100" s="92">
        <v>45474.0</v>
      </c>
      <c r="B100" s="95">
        <v>5476.0</v>
      </c>
      <c r="C100" s="90">
        <v>161.0</v>
      </c>
      <c r="D100" s="90">
        <f t="shared" si="2"/>
        <v>5637</v>
      </c>
      <c r="E100" s="90">
        <f t="shared" si="1"/>
        <v>24.5</v>
      </c>
    </row>
    <row r="101">
      <c r="A101" s="92">
        <v>45476.0</v>
      </c>
      <c r="B101" s="90">
        <v>5485.0</v>
      </c>
      <c r="C101" s="90">
        <v>165.0</v>
      </c>
      <c r="D101" s="90">
        <f t="shared" si="2"/>
        <v>5650</v>
      </c>
      <c r="E101" s="90">
        <f t="shared" si="1"/>
        <v>13</v>
      </c>
    </row>
    <row r="102">
      <c r="A102" s="92">
        <v>45484.0</v>
      </c>
      <c r="B102" s="90">
        <v>5504.5</v>
      </c>
      <c r="C102" s="90">
        <v>4.0</v>
      </c>
      <c r="D102" s="90">
        <f t="shared" si="2"/>
        <v>5508.5</v>
      </c>
      <c r="E102" s="90">
        <f t="shared" si="1"/>
        <v>-141.5</v>
      </c>
    </row>
    <row r="103">
      <c r="A103" s="92">
        <v>45486.0</v>
      </c>
      <c r="B103" s="90">
        <v>5518.0</v>
      </c>
      <c r="C103" s="90">
        <v>4.0</v>
      </c>
      <c r="D103" s="90">
        <f t="shared" si="2"/>
        <v>5522</v>
      </c>
      <c r="E103" s="90">
        <f t="shared" si="1"/>
        <v>13.5</v>
      </c>
    </row>
    <row r="104">
      <c r="A104" s="92">
        <v>45488.0</v>
      </c>
      <c r="B104" s="90">
        <v>3503.5</v>
      </c>
      <c r="C104" s="90">
        <v>4.0</v>
      </c>
      <c r="D104" s="90">
        <f t="shared" si="2"/>
        <v>3507.5</v>
      </c>
      <c r="E104" s="90">
        <f t="shared" si="1"/>
        <v>-2014.5</v>
      </c>
    </row>
    <row r="105">
      <c r="A105" s="92">
        <v>45500.0</v>
      </c>
      <c r="B105" s="90">
        <v>3480.0</v>
      </c>
      <c r="C105" s="90">
        <v>25.0</v>
      </c>
      <c r="D105" s="90">
        <f t="shared" si="2"/>
        <v>3505</v>
      </c>
      <c r="E105" s="90">
        <f t="shared" si="1"/>
        <v>-2.5</v>
      </c>
    </row>
    <row r="106">
      <c r="A106" s="92">
        <v>45511.0</v>
      </c>
      <c r="B106" s="90">
        <v>5436.0</v>
      </c>
      <c r="C106" s="90">
        <v>57.0</v>
      </c>
      <c r="D106" s="90">
        <f t="shared" si="2"/>
        <v>5493</v>
      </c>
      <c r="E106" s="90">
        <f t="shared" si="1"/>
        <v>1988</v>
      </c>
    </row>
    <row r="107">
      <c r="A107" s="92">
        <v>45511.0</v>
      </c>
      <c r="B107" s="90">
        <v>5436.0</v>
      </c>
      <c r="C107" s="90">
        <v>57.0</v>
      </c>
      <c r="D107" s="90">
        <f t="shared" si="2"/>
        <v>5493</v>
      </c>
      <c r="E107" s="93">
        <f t="shared" ref="E107:E119" si="3">if(D107=0,0,D107-D106)</f>
        <v>0</v>
      </c>
    </row>
    <row r="108">
      <c r="A108" s="92">
        <v>45516.0</v>
      </c>
      <c r="B108" s="90">
        <v>5487.5</v>
      </c>
      <c r="C108" s="90">
        <v>66.0</v>
      </c>
      <c r="D108" s="90">
        <f t="shared" si="2"/>
        <v>5553.5</v>
      </c>
      <c r="E108" s="93">
        <f t="shared" si="3"/>
        <v>60.5</v>
      </c>
    </row>
    <row r="109">
      <c r="A109" s="92">
        <v>45528.0</v>
      </c>
      <c r="B109" s="90">
        <v>5750.0</v>
      </c>
      <c r="C109" s="90">
        <v>68.0</v>
      </c>
      <c r="D109" s="90">
        <f t="shared" si="2"/>
        <v>5818</v>
      </c>
      <c r="E109" s="93">
        <f t="shared" si="3"/>
        <v>264.5</v>
      </c>
    </row>
    <row r="110">
      <c r="A110" s="92">
        <v>45535.0</v>
      </c>
      <c r="B110" s="90">
        <v>5281.5</v>
      </c>
      <c r="C110" s="90">
        <v>69.0</v>
      </c>
      <c r="D110" s="90">
        <f t="shared" si="2"/>
        <v>5350.5</v>
      </c>
      <c r="E110" s="93">
        <f t="shared" si="3"/>
        <v>-467.5</v>
      </c>
    </row>
    <row r="111">
      <c r="A111" s="92">
        <v>45536.0</v>
      </c>
      <c r="B111" s="95">
        <v>5286.5</v>
      </c>
      <c r="C111" s="90">
        <v>70.0</v>
      </c>
      <c r="D111" s="90">
        <f t="shared" si="2"/>
        <v>5356.5</v>
      </c>
      <c r="E111" s="93">
        <f t="shared" si="3"/>
        <v>6</v>
      </c>
    </row>
    <row r="112">
      <c r="A112" s="92">
        <v>45537.0</v>
      </c>
      <c r="B112" s="90">
        <v>5244.5</v>
      </c>
      <c r="C112" s="90">
        <v>72.0</v>
      </c>
      <c r="D112" s="90">
        <f t="shared" si="2"/>
        <v>5316.5</v>
      </c>
      <c r="E112" s="93">
        <f t="shared" si="3"/>
        <v>-40</v>
      </c>
    </row>
    <row r="113">
      <c r="A113" s="92">
        <v>45538.0</v>
      </c>
      <c r="B113" s="95">
        <v>5296.0</v>
      </c>
      <c r="C113" s="90">
        <v>73.0</v>
      </c>
      <c r="D113" s="90">
        <f t="shared" si="2"/>
        <v>5369</v>
      </c>
      <c r="E113" s="93">
        <f t="shared" si="3"/>
        <v>52.5</v>
      </c>
    </row>
    <row r="114">
      <c r="A114" s="92">
        <v>45539.0</v>
      </c>
      <c r="B114" s="95">
        <v>5296.0</v>
      </c>
      <c r="C114" s="90">
        <v>73.0</v>
      </c>
      <c r="D114" s="90">
        <f t="shared" si="2"/>
        <v>5369</v>
      </c>
      <c r="E114" s="93">
        <f t="shared" si="3"/>
        <v>0</v>
      </c>
    </row>
    <row r="115">
      <c r="A115" s="92">
        <v>45540.0</v>
      </c>
      <c r="B115" s="95">
        <v>5298.0</v>
      </c>
      <c r="C115" s="90">
        <v>73.0</v>
      </c>
      <c r="D115" s="90">
        <f t="shared" si="2"/>
        <v>5371</v>
      </c>
      <c r="E115" s="93">
        <f t="shared" si="3"/>
        <v>2</v>
      </c>
    </row>
    <row r="116">
      <c r="A116" s="92">
        <v>45541.0</v>
      </c>
      <c r="B116" s="95">
        <v>5263.0</v>
      </c>
      <c r="C116" s="90">
        <v>73.0</v>
      </c>
      <c r="D116" s="90">
        <f t="shared" si="2"/>
        <v>5336</v>
      </c>
      <c r="E116" s="93">
        <f t="shared" si="3"/>
        <v>-35</v>
      </c>
    </row>
    <row r="117">
      <c r="A117" s="92">
        <v>45542.0</v>
      </c>
      <c r="B117" s="95">
        <v>5296.0</v>
      </c>
      <c r="C117" s="90">
        <v>73.0</v>
      </c>
      <c r="D117" s="90">
        <f t="shared" si="2"/>
        <v>5369</v>
      </c>
      <c r="E117" s="93">
        <f t="shared" si="3"/>
        <v>33</v>
      </c>
    </row>
    <row r="118">
      <c r="A118" s="108">
        <v>45543.0</v>
      </c>
      <c r="B118" s="95">
        <v>5310.0</v>
      </c>
      <c r="C118" s="95">
        <v>73.0</v>
      </c>
      <c r="D118" s="90">
        <f t="shared" si="2"/>
        <v>5383</v>
      </c>
      <c r="E118" s="93">
        <f t="shared" si="3"/>
        <v>14</v>
      </c>
    </row>
    <row r="119">
      <c r="A119" s="92">
        <v>45545.0</v>
      </c>
      <c r="B119" s="95">
        <v>5287.5</v>
      </c>
      <c r="C119" s="90">
        <v>73.0</v>
      </c>
      <c r="D119" s="90">
        <f t="shared" si="2"/>
        <v>5360.5</v>
      </c>
      <c r="E119" s="93">
        <f t="shared" si="3"/>
        <v>-22.5</v>
      </c>
    </row>
  </sheetData>
  <autoFilter ref="$A$1:$E$119"/>
  <conditionalFormatting sqref="E107:E119">
    <cfRule type="cellIs" dxfId="1" priority="1" operator="greaterThan">
      <formula>0</formula>
    </cfRule>
  </conditionalFormatting>
  <conditionalFormatting sqref="E1:E119">
    <cfRule type="cellIs" dxfId="0" priority="2" operator="lessThan">
      <formula>0</formula>
    </cfRule>
  </conditionalFormatting>
  <conditionalFormatting sqref="E1:E106">
    <cfRule type="cellIs" dxfId="2" priority="3" operator="greaterThan">
      <formula>0</formula>
    </cfRule>
  </conditionalFormatting>
  <drawing r:id="rId1"/>
</worksheet>
</file>